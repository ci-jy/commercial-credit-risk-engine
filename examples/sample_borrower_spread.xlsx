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<sst xmlns="http://schemas.openxmlformats.org/spreadsheetml/2006/main" count="257" uniqueCount="119">
  <si>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</si>
  <si>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</si>
  <si>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</si>
  <si>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</si>
  <si>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</si>
  <si>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</si>
  <si>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</si>
  <si>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</si>
  <si>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</si>
  <si>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</si>
  <si>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</si>
  <si>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</si>
  <si>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</si>
  <si>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</si>
  <si>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</si>
  <si>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</si>
  <si>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</si>
  <si>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</si>
  <si>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</si>
  <si>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</si>
  <si>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</si>
  <si>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</si>
  <si>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</si>
  <si>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</si>
  <si>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</si>
  <si>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</si>
  <si>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</si>
  <si>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</si>
  <si>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</si>
  <si>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</si>
  <si>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</si>
  <si>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</si>
  <si>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</si>
  <si>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</si>
  <si>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</si>
  <si>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2022-12-31</t>
  </si>
  <si>
    <t xml:space="preserve">2023-12-31</t>
  </si>
  <si>
    <t xml:space="preserve">2024-12-31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</si>
  <si>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</si>
  <si>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</si>
  <si>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</si>
  <si>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</si>
  <si>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</si>
  <si>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</si>
  <si>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</si>
  <si>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</si>
  <si>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</si>
  <si>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</si>
  <si>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</si>
  <si>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</si>
  <si>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</si>
  <si>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</si>
  <si>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</si>
  <si>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</si>
  <si>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</si>
  <si>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</si>
  <si>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</si>
  <si>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</si>
  <si>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</si>
  <si>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</si>
  <si>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</si>
  <si>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</si>
  <si>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</si>
  <si>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</si>
  <si>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</si>
  <si>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</si>
  <si>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</si>
  <si>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</si>
  <si>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FY2024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</si>
  <si>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</si>
  <si>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</si>
  <si>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</si>
  <si>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</si>
  <si>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</si>
  <si>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</si>
  <si>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</si>
  <si>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</si>
  <si>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</si>
  <si>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</si>
  <si>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</si>
  <si>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</si>
  <si>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breaks at -14.3%</t>
  </si>
  <si>
    <t xml:space="preserve">breaks at -16.7%</t>
  </si>
  <si>
    <t xml:space="preserve">breaks at -6.9%</t>
  </si>
  <si>
    <t xml:space="preserve">holds to -100.0%</t>
  </si>
  <si>
    <t xml:space="preserve">rate_shock</t>
  </si>
  <si>
    <t xml:space="preserve">holds to +2,000 bp</t>
  </si>
  <si>
    <t xml:space="preserve">breaks at +309 bp</t>
  </si>
  <si>
    <t xml:space="preserve">revenue_decline</t>
  </si>
  <si>
    <t xml:space="preserve">breaks at -6.1%</t>
  </si>
  <si>
    <t xml:space="preserve">breaks at -7.1%</t>
  </si>
  <si>
    <t xml:space="preserve">breaks at -3.0%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</si>
  <si>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</si>
  <si>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</si>
  <si>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</si>
  <si>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</si>
  <si>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DepreciationDepletionAndAmortization</t>
  </si>
  <si>
    <t xml:space="preserve">not reported (0)</t>
  </si>
  <si>
    <t xml:space="preserve">InterestExpense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</si>
  <si>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</si>
  <si>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</si>
  <si>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</si>
  <si>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OperatingLeaseCost</t>
  </si>
  <si>
    <t xml:space="preserve">CashAndCashEquivalentsAtCarryingValue</t>
  </si>
  <si>
    <t xml:space="preserve">AccountsReceivableNetCurrent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</si>
  <si>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</si>
  <si>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</si>
  <si>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</si>
  <si>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</si>
  <si>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ShortTermBorrowings</t>
  </si>
  <si>
    <t xml:space="preserve">LongTermDebtCurrent</t>
  </si>
  <si>
    <t xml:space="preserve">LongTermDebtNoncurrent</t>
  </si>
  <si>
    <t xml:space="preserve">Liabilities</t>
  </si>
  <si>
    <t xml:space="preserve">StockholdersEquity</t>
  </si>
  <si>
    <t xml:space="preserve">RetainedEarningsAccumulatedDeficit</t>
  </si>
  <si>
    <t xml:space="preserve">NetCashProvidedByUsedInOperatingActivities</t>
  </si>
  <si>
    <t xml:space="preserve">PaymentsToAcquirePropertyPlantAndEquipment</t>
  </si>
  <si>
    <t xml:space="preserve">IncomeTaxesPaidNet</t>
  </si>
  <si>
    <t xml:space="preserve">PaymentsOfDividends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</si>
</sst>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n">
        <v>365</v>
      </c>
      <c r="D2" s="2" t="n">
        <v>398</v>
      </c>
      <c r="E2" s="2" t="n">
        <v>420</v>
      </c>
    </row>
    <row r="3" customFormat="false" ht="15" hidden="false" customHeight="false" outlineLevel="0" collapsed="false">
      <c r="A3" s="0" t="s">
        <v>7</v>
      </c>
      <c r="B3" s="0" t="s">
        <v>6</v>
      </c>
      <c r="C3" s="2" t="n">
        <v>259</v>
      </c>
      <c r="D3" s="2" t="n">
        <v>280</v>
      </c>
      <c r="E3" s="2" t="n">
        <v>294</v>
      </c>
    </row>
    <row r="4" customFormat="false" ht="15" hidden="false" customHeight="false" outlineLevel="0" collapsed="false">
      <c r="A4" s="0" t="s">
        <v>8</v>
      </c>
      <c r="B4" s="0" t="s">
        <v>6</v>
      </c>
      <c r="C4" s="2" t="n">
        <v>33</v>
      </c>
      <c r="D4" s="2" t="n">
        <v>38</v>
      </c>
      <c r="E4" s="2" t="n">
        <v>42</v>
      </c>
    </row>
    <row r="5" customFormat="false" ht="15" hidden="false" customHeight="false" outlineLevel="0" collapsed="false">
      <c r="A5" s="0" t="s">
        <v>9</v>
      </c>
      <c r="B5" s="0" t="s">
        <v>6</v>
      </c>
      <c r="C5" s="2" t="n">
        <v>10</v>
      </c>
      <c r="D5" s="2" t="n">
        <v>11</v>
      </c>
      <c r="E5" s="2" t="n">
        <v>12</v>
      </c>
    </row>
    <row r="6" customFormat="false" ht="15" hidden="false" customHeight="false" outlineLevel="0" collapsed="false">
      <c r="A6" s="0" t="s">
        <v>10</v>
      </c>
      <c r="B6" s="0" t="s">
        <v>6</v>
      </c>
      <c r="C6" s="2" t="n">
        <v>0</v>
      </c>
      <c r="D6" s="2" t="n">
        <v>0</v>
      </c>
      <c r="E6" s="2" t="n">
        <v>0</v>
      </c>
    </row>
    <row r="7" customFormat="false" ht="15" hidden="false" customHeight="false" outlineLevel="0" collapsed="false">
      <c r="A7" s="0" t="s">
        <v>11</v>
      </c>
      <c r="B7" s="0" t="s">
        <v>6</v>
      </c>
      <c r="C7" s="2" t="n">
        <v>8</v>
      </c>
      <c r="D7" s="2" t="n">
        <v>10</v>
      </c>
      <c r="E7" s="2" t="n">
        <v>11</v>
      </c>
    </row>
    <row r="8" customFormat="false" ht="15" hidden="false" customHeight="false" outlineLevel="0" collapsed="false">
      <c r="A8" s="0" t="s">
        <v>12</v>
      </c>
      <c r="B8" s="0" t="s">
        <v>6</v>
      </c>
      <c r="C8" s="2" t="n">
        <v>25</v>
      </c>
      <c r="D8" s="2" t="n">
        <v>28</v>
      </c>
      <c r="E8" s="2" t="n">
        <v>31</v>
      </c>
    </row>
    <row r="9" customFormat="false" ht="15" hidden="false" customHeight="false" outlineLevel="0" collapsed="false">
      <c r="A9" s="0" t="s">
        <v>13</v>
      </c>
      <c r="B9" s="0" t="s">
        <v>6</v>
      </c>
      <c r="C9" s="2" t="n">
        <v>6</v>
      </c>
      <c r="D9" s="2" t="n">
        <v>6</v>
      </c>
      <c r="E9" s="2" t="n">
        <v>7</v>
      </c>
    </row>
    <row r="10" customFormat="false" ht="15" hidden="false" customHeight="false" outlineLevel="0" collapsed="false">
      <c r="A10" s="0" t="s">
        <v>14</v>
      </c>
      <c r="B10" s="0" t="s">
        <v>6</v>
      </c>
      <c r="C10" s="2" t="n">
        <v>19</v>
      </c>
      <c r="D10" s="2" t="n">
        <v>22</v>
      </c>
      <c r="E10" s="2" t="n">
        <v>24</v>
      </c>
    </row>
    <row r="11" customFormat="false" ht="15" hidden="false" customHeight="false" outlineLevel="0" collapsed="false">
      <c r="A11" s="0" t="s">
        <v>15</v>
      </c>
      <c r="B11" s="0" t="s">
        <v>6</v>
      </c>
      <c r="C11" s="2" t="n">
        <v>5</v>
      </c>
      <c r="D11" s="2" t="n">
        <v>6</v>
      </c>
      <c r="E11" s="2" t="n">
        <v>6</v>
      </c>
    </row>
    <row r="12" customFormat="false" ht="15" hidden="false" customHeight="false" outlineLevel="0" collapsed="false">
      <c r="A12" s="0" t="s">
        <v>16</v>
      </c>
      <c r="B12" s="0" t="s">
        <v>17</v>
      </c>
      <c r="C12" s="2" t="n">
        <v>12</v>
      </c>
      <c r="D12" s="2" t="n">
        <v>14</v>
      </c>
      <c r="E12" s="2" t="n">
        <v>15</v>
      </c>
    </row>
    <row r="13" customFormat="false" ht="15" hidden="false" customHeight="false" outlineLevel="0" collapsed="false">
      <c r="A13" s="0" t="s">
        <v>18</v>
      </c>
      <c r="B13" s="0" t="s">
        <v>17</v>
      </c>
      <c r="C13" s="2" t="n">
        <v>52</v>
      </c>
      <c r="D13" s="2" t="n">
        <v>57</v>
      </c>
      <c r="E13" s="2" t="n">
        <v>60</v>
      </c>
    </row>
    <row r="14" customFormat="false" ht="15" hidden="false" customHeight="false" outlineLevel="0" collapsed="false">
      <c r="A14" s="0" t="s">
        <v>19</v>
      </c>
      <c r="B14" s="0" t="s">
        <v>17</v>
      </c>
      <c r="C14" s="2" t="n">
        <v>61</v>
      </c>
      <c r="D14" s="2" t="n">
        <v>66</v>
      </c>
      <c r="E14" s="2" t="n">
        <v>70</v>
      </c>
    </row>
    <row r="15" customFormat="false" ht="15" hidden="false" customHeight="false" outlineLevel="0" collapsed="false">
      <c r="A15" s="0" t="s">
        <v>20</v>
      </c>
      <c r="B15" s="0" t="s">
        <v>17</v>
      </c>
      <c r="C15" s="2" t="n">
        <v>130</v>
      </c>
      <c r="D15" s="2" t="n">
        <v>142</v>
      </c>
      <c r="E15" s="2" t="n">
        <v>150</v>
      </c>
    </row>
    <row r="16" customFormat="false" ht="15" hidden="false" customHeight="false" outlineLevel="0" collapsed="false">
      <c r="A16" s="0" t="s">
        <v>21</v>
      </c>
      <c r="B16" s="0" t="s">
        <v>17</v>
      </c>
      <c r="C16" s="2" t="n">
        <v>345</v>
      </c>
      <c r="D16" s="2" t="n">
        <v>364</v>
      </c>
      <c r="E16" s="2" t="n">
        <v>380</v>
      </c>
    </row>
    <row r="17" customFormat="false" ht="15" hidden="false" customHeight="false" outlineLevel="0" collapsed="false">
      <c r="A17" s="0" t="s">
        <v>22</v>
      </c>
      <c r="B17" s="0" t="s">
        <v>17</v>
      </c>
      <c r="C17" s="2" t="n">
        <v>88</v>
      </c>
      <c r="D17" s="2" t="n">
        <v>95</v>
      </c>
      <c r="E17" s="2" t="n">
        <v>100</v>
      </c>
    </row>
    <row r="18" customFormat="false" ht="15" hidden="false" customHeight="false" outlineLevel="0" collapsed="false">
      <c r="A18" s="0" t="s">
        <v>23</v>
      </c>
      <c r="B18" s="0" t="s">
        <v>17</v>
      </c>
      <c r="C18" s="2" t="n">
        <v>8</v>
      </c>
      <c r="D18" s="2" t="n">
        <v>9</v>
      </c>
      <c r="E18" s="2" t="n">
        <v>10</v>
      </c>
    </row>
    <row r="19" customFormat="false" ht="15" hidden="false" customHeight="false" outlineLevel="0" collapsed="false">
      <c r="A19" s="0" t="s">
        <v>24</v>
      </c>
      <c r="B19" s="0" t="s">
        <v>17</v>
      </c>
      <c r="C19" s="2" t="n">
        <v>10</v>
      </c>
      <c r="D19" s="2" t="n">
        <v>11</v>
      </c>
      <c r="E19" s="2" t="n">
        <v>12</v>
      </c>
    </row>
    <row r="20" customFormat="false" ht="15" hidden="false" customHeight="false" outlineLevel="0" collapsed="false">
      <c r="A20" s="0" t="s">
        <v>25</v>
      </c>
      <c r="B20" s="0" t="s">
        <v>17</v>
      </c>
      <c r="C20" s="2" t="n">
        <v>135</v>
      </c>
      <c r="D20" s="2" t="n">
        <v>140</v>
      </c>
      <c r="E20" s="2" t="n">
        <v>140</v>
      </c>
    </row>
    <row r="21" customFormat="false" ht="15" hidden="false" customHeight="false" outlineLevel="0" collapsed="false">
      <c r="A21" s="0" t="s">
        <v>26</v>
      </c>
      <c r="B21" s="0" t="s">
        <v>17</v>
      </c>
      <c r="C21" s="2" t="n">
        <v>235</v>
      </c>
      <c r="D21" s="2" t="n">
        <v>243</v>
      </c>
      <c r="E21" s="2" t="n">
        <v>250</v>
      </c>
    </row>
    <row r="22" customFormat="false" ht="15" hidden="false" customHeight="false" outlineLevel="0" collapsed="false">
      <c r="A22" s="0" t="s">
        <v>27</v>
      </c>
      <c r="B22" s="0" t="s">
        <v>17</v>
      </c>
      <c r="C22" s="2" t="n">
        <v>110</v>
      </c>
      <c r="D22" s="2" t="n">
        <v>121</v>
      </c>
      <c r="E22" s="2" t="n">
        <v>130</v>
      </c>
    </row>
    <row r="23" customFormat="false" ht="15" hidden="false" customHeight="false" outlineLevel="0" collapsed="false">
      <c r="A23" s="0" t="s">
        <v>28</v>
      </c>
      <c r="B23" s="0" t="s">
        <v>17</v>
      </c>
      <c r="C23" s="2" t="n">
        <v>70</v>
      </c>
      <c r="D23" s="2" t="n">
        <v>80</v>
      </c>
      <c r="E23" s="2" t="n">
        <v>90</v>
      </c>
    </row>
    <row r="24" customFormat="false" ht="15" hidden="false" customHeight="false" outlineLevel="0" collapsed="false">
      <c r="A24" s="0" t="s">
        <v>29</v>
      </c>
      <c r="B24" s="0" t="s">
        <v>30</v>
      </c>
      <c r="C24" s="2" t="n">
        <v>29</v>
      </c>
      <c r="D24" s="2" t="n">
        <v>33</v>
      </c>
      <c r="E24" s="2" t="n">
        <v>38</v>
      </c>
    </row>
    <row r="25" customFormat="false" ht="15" hidden="false" customHeight="false" outlineLevel="0" collapsed="false">
      <c r="A25" s="0" t="s">
        <v>31</v>
      </c>
      <c r="B25" s="0" t="s">
        <v>30</v>
      </c>
      <c r="C25" s="2" t="n">
        <v>12</v>
      </c>
      <c r="D25" s="2" t="n">
        <v>13</v>
      </c>
      <c r="E25" s="2" t="n">
        <v>14</v>
      </c>
    </row>
    <row r="26" customFormat="false" ht="15" hidden="false" customHeight="false" outlineLevel="0" collapsed="false">
      <c r="A26" s="0" t="s">
        <v>32</v>
      </c>
      <c r="B26" s="0" t="s">
        <v>30</v>
      </c>
      <c r="C26" s="2" t="n">
        <v>5</v>
      </c>
      <c r="D26" s="2" t="n">
        <v>6</v>
      </c>
      <c r="E26" s="2" t="n">
        <v>6</v>
      </c>
    </row>
    <row r="27" customFormat="false" ht="15" hidden="false" customHeight="false" outlineLevel="0" collapsed="false">
      <c r="A27" s="0" t="s">
        <v>33</v>
      </c>
      <c r="B27" s="0" t="s">
        <v>30</v>
      </c>
      <c r="C27" s="2" t="n">
        <v>4</v>
      </c>
      <c r="D27" s="2" t="n">
        <v>4</v>
      </c>
      <c r="E27" s="2" t="n">
        <v>5</v>
      </c>
    </row>
    <row r="29" customFormat="false" ht="15" hidden="false" customHeight="false" outlineLevel="0" collapsed="false">
      <c r="A29" s="0" t="s">
        <v>34</v>
      </c>
      <c r="C29" s="0" t="s">
        <v>35</v>
      </c>
      <c r="D29" s="0" t="s">
        <v>36</v>
      </c>
      <c r="E29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40</v>
      </c>
      <c r="B2" s="0" t="s">
        <v>41</v>
      </c>
      <c r="C2" s="3" t="n">
        <f aca="false">Spread!C4+Spread!C5+Spread!C6</f>
        <v>43</v>
      </c>
      <c r="D2" s="3" t="n">
        <f aca="false">Spread!D4+Spread!D5+Spread!D6</f>
        <v>49</v>
      </c>
      <c r="E2" s="3" t="n">
        <f aca="false">Spread!E4+Spread!E5+Spread!E6</f>
        <v>54</v>
      </c>
    </row>
    <row r="3" customFormat="false" ht="15" hidden="false" customHeight="false" outlineLevel="0" collapsed="false">
      <c r="A3" s="0" t="s">
        <v>42</v>
      </c>
      <c r="B3" s="0" t="s">
        <v>43</v>
      </c>
      <c r="C3" s="3" t="n">
        <f aca="false">Spread!C18+Spread!C19+Spread!C20</f>
        <v>153</v>
      </c>
      <c r="D3" s="3" t="n">
        <f aca="false">Spread!D18+Spread!D19+Spread!D20</f>
        <v>160</v>
      </c>
      <c r="E3" s="3" t="n">
        <f aca="false">Spread!E18+Spread!E19+Spread!E20</f>
        <v>162</v>
      </c>
    </row>
    <row r="4" customFormat="false" ht="15" hidden="false" customHeight="false" outlineLevel="0" collapsed="false">
      <c r="A4" s="0" t="s">
        <v>44</v>
      </c>
      <c r="B4" s="0" t="s">
        <v>45</v>
      </c>
      <c r="C4" s="3" t="n">
        <f aca="false">Spread!C18+Spread!C19+Spread!C20-Spread!C12</f>
        <v>141</v>
      </c>
      <c r="D4" s="3" t="n">
        <f aca="false">Spread!D18+Spread!D19+Spread!D20-Spread!D12</f>
        <v>146</v>
      </c>
      <c r="E4" s="3" t="n">
        <f aca="false">Spread!E18+Spread!E19+Spread!E20-Spread!E12</f>
        <v>147</v>
      </c>
    </row>
    <row r="5" customFormat="false" ht="15" hidden="false" customHeight="false" outlineLevel="0" collapsed="false">
      <c r="A5" s="0" t="s">
        <v>46</v>
      </c>
      <c r="B5" s="0" t="s">
        <v>47</v>
      </c>
      <c r="C5" s="4" t="n">
        <f aca="false">IF(Spread!C2=0,"n/m",C2/Spread!C2)</f>
        <v>0.117808219178082</v>
      </c>
      <c r="D5" s="4" t="n">
        <f aca="false">IF(Spread!D2=0,"n/m",D2/Spread!D2)</f>
        <v>0.123115577889447</v>
      </c>
      <c r="E5" s="4" t="n">
        <f aca="false">IF(Spread!E2=0,"n/m",E2/Spread!E2)</f>
        <v>0.128571428571429</v>
      </c>
    </row>
    <row r="6" customFormat="false" ht="15" hidden="false" customHeight="false" outlineLevel="0" collapsed="false">
      <c r="A6" s="0" t="s">
        <v>48</v>
      </c>
      <c r="B6" s="0" t="s">
        <v>49</v>
      </c>
      <c r="C6" s="5" t="n">
        <f aca="false">IF(C2&lt;=0,"n/m",C3/C2)</f>
        <v>3.55813953488372</v>
      </c>
      <c r="D6" s="5" t="n">
        <f aca="false">IF(D2&lt;=0,"n/m",D3/D2)</f>
        <v>3.26530612244898</v>
      </c>
      <c r="E6" s="5" t="n">
        <f aca="false">IF(E2&lt;=0,"n/m",E3/E2)</f>
        <v>3</v>
      </c>
    </row>
    <row r="7" customFormat="false" ht="15" hidden="false" customHeight="false" outlineLevel="0" collapsed="false">
      <c r="A7" s="0" t="s">
        <v>50</v>
      </c>
      <c r="B7" s="0" t="s">
        <v>51</v>
      </c>
      <c r="C7" s="5" t="n">
        <f aca="false">IF(C2&lt;=0,"n/m",C4/C2)</f>
        <v>3.27906976744186</v>
      </c>
      <c r="D7" s="5" t="n">
        <f aca="false">IF(D2&lt;=0,"n/m",D4/D2)</f>
        <v>2.97959183673469</v>
      </c>
      <c r="E7" s="5" t="n">
        <f aca="false">IF(E2&lt;=0,"n/m",E4/E2)</f>
        <v>2.72222222222222</v>
      </c>
    </row>
    <row r="8" customFormat="false" ht="15" hidden="false" customHeight="false" outlineLevel="0" collapsed="false">
      <c r="A8" s="0" t="s">
        <v>52</v>
      </c>
      <c r="B8" s="0" t="s">
        <v>53</v>
      </c>
      <c r="C8" s="5" t="n">
        <f aca="false">IF(Spread!C7=0,"n/m",(Spread!C4+Spread!C6)/Spread!C7)</f>
        <v>4.125</v>
      </c>
      <c r="D8" s="5" t="n">
        <f aca="false">IF(Spread!D7=0,"n/m",(Spread!D4+Spread!D6)/Spread!D7)</f>
        <v>3.8</v>
      </c>
      <c r="E8" s="5" t="n">
        <f aca="false">IF(Spread!E7=0,"n/m",(Spread!E4+Spread!E6)/Spread!E7)</f>
        <v>3.81818181818182</v>
      </c>
    </row>
    <row r="9" customFormat="false" ht="15" hidden="false" customHeight="false" outlineLevel="0" collapsed="false">
      <c r="A9" s="0" t="s">
        <v>54</v>
      </c>
      <c r="B9" s="0" t="s">
        <v>55</v>
      </c>
      <c r="C9" s="5" t="n">
        <f aca="false">IF((Spread!C7+Spread!C19)=0,"n/m",C2/(Spread!C7+Spread!C19))</f>
        <v>2.38888888888889</v>
      </c>
      <c r="D9" s="5" t="n">
        <f aca="false">IF((Spread!D7+Spread!D19)=0,"n/m",D2/(Spread!D7+Spread!D19))</f>
        <v>2.33333333333333</v>
      </c>
      <c r="E9" s="5" t="n">
        <f aca="false">IF((Spread!E7+Spread!E19)=0,"n/m",E2/(Spread!E7+Spread!E19))</f>
        <v>2.34782608695652</v>
      </c>
    </row>
    <row r="10" customFormat="false" ht="15" hidden="false" customHeight="false" outlineLevel="0" collapsed="false">
      <c r="A10" s="0" t="s">
        <v>56</v>
      </c>
      <c r="B10" s="0" t="s">
        <v>57</v>
      </c>
      <c r="C10" s="5" t="n">
        <f aca="false">IF((Spread!C7+Spread!C11+Spread!C19)=0,"n/m",(C2+Spread!C11-Spread!C25-Spread!C26)/(Spread!C7+Spread!C11+Spread!C19))</f>
        <v>1.34782608695652</v>
      </c>
      <c r="D10" s="5" t="n">
        <f aca="false">IF((Spread!D7+Spread!D11+Spread!D19)=0,"n/m",(D2+Spread!D11-Spread!D25-Spread!D26)/(Spread!D7+Spread!D11+Spread!D19))</f>
        <v>1.33333333333333</v>
      </c>
      <c r="E10" s="5" t="n">
        <f aca="false">IF((Spread!E7+Spread!E11+Spread!E19)=0,"n/m",(E2+Spread!E11-Spread!E25-Spread!E26)/(Spread!E7+Spread!E11+Spread!E19))</f>
        <v>1.37931034482759</v>
      </c>
    </row>
    <row r="11" customFormat="false" ht="15" hidden="false" customHeight="false" outlineLevel="0" collapsed="false">
      <c r="A11" s="0" t="s">
        <v>58</v>
      </c>
      <c r="B11" s="0" t="s">
        <v>59</v>
      </c>
      <c r="C11" s="5" t="n">
        <f aca="false">IF(Spread!C17=0,"n/m",Spread!C15/Spread!C17)</f>
        <v>1.47727272727273</v>
      </c>
      <c r="D11" s="5" t="n">
        <f aca="false">IF(Spread!D17=0,"n/m",Spread!D15/Spread!D17)</f>
        <v>1.49473684210526</v>
      </c>
      <c r="E11" s="5" t="n">
        <f aca="false">IF(Spread!E17=0,"n/m",Spread!E15/Spread!E17)</f>
        <v>1.5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3" t="n">
        <f aca="false">Spread!C24-Spread!C25</f>
        <v>17</v>
      </c>
      <c r="D12" s="3" t="n">
        <f aca="false">Spread!D24-Spread!D25</f>
        <v>20</v>
      </c>
      <c r="E12" s="3" t="n">
        <f aca="false">Spread!E24-Spread!E25</f>
        <v>24</v>
      </c>
    </row>
    <row r="13" customFormat="false" ht="15" hidden="false" customHeight="false" outlineLevel="0" collapsed="false">
      <c r="A13" s="0" t="s">
        <v>62</v>
      </c>
      <c r="B13" s="0" t="s">
        <v>63</v>
      </c>
      <c r="C13" s="5" t="n">
        <f aca="false">IF(Spread!C22&lt;=0,"n/m",C3/Spread!C22)</f>
        <v>1.39090909090909</v>
      </c>
      <c r="D13" s="5" t="n">
        <f aca="false">IF(Spread!D22&lt;=0,"n/m",D3/Spread!D22)</f>
        <v>1.32231404958678</v>
      </c>
      <c r="E13" s="5" t="n">
        <f aca="false">IF(Spread!E22&lt;=0,"n/m",E3/Spread!E22)</f>
        <v>1.24615384615385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customFormat="false" ht="15" hidden="false" customHeight="false" outlineLevel="0" collapsed="false">
      <c r="A2" s="0" t="s">
        <v>71</v>
      </c>
      <c r="B2" s="0" t="s">
        <v>49</v>
      </c>
      <c r="C2" s="0" t="s">
        <v>72</v>
      </c>
      <c r="D2" s="6" t="n">
        <v>3.5</v>
      </c>
      <c r="E2" s="5" t="n">
        <f aca="false">Ratios!E6</f>
        <v>3</v>
      </c>
      <c r="F2" s="4" t="n">
        <f aca="false">IF(ISNUMBER(E2),(D2-E2)/D2,"n/m")</f>
        <v>0.142857142857143</v>
      </c>
      <c r="G2" s="0" t="str">
        <f aca="false">IF(ISNUMBER(F2),IF(F2&gt;=0,"PASS","BREACH"),IF(C2="&lt;=","BREACH","PASS"))</f>
        <v>PASS</v>
      </c>
    </row>
    <row r="3" customFormat="false" ht="15" hidden="false" customHeight="false" outlineLevel="0" collapsed="false">
      <c r="A3" s="0" t="s">
        <v>73</v>
      </c>
      <c r="B3" s="0" t="s">
        <v>53</v>
      </c>
      <c r="C3" s="0" t="s">
        <v>74</v>
      </c>
      <c r="D3" s="6" t="n">
        <v>3</v>
      </c>
      <c r="E3" s="5" t="n">
        <f aca="false">Ratios!E8</f>
        <v>3.81818181818182</v>
      </c>
      <c r="F3" s="4" t="n">
        <f aca="false">IF(ISNUMBER(E3),(E3-D3)/D3,"n/m")</f>
        <v>0.272727272727273</v>
      </c>
      <c r="G3" s="0" t="str">
        <f aca="false">IF(ISNUMBER(F3),IF(F3&gt;=0,"PASS","BREACH"),IF(C3="&lt;=","BREACH","PASS"))</f>
        <v>PASS</v>
      </c>
    </row>
    <row r="4" customFormat="false" ht="15" hidden="false" customHeight="false" outlineLevel="0" collapsed="false">
      <c r="A4" s="0" t="s">
        <v>75</v>
      </c>
      <c r="B4" s="0" t="s">
        <v>57</v>
      </c>
      <c r="C4" s="0" t="s">
        <v>74</v>
      </c>
      <c r="D4" s="6" t="n">
        <v>1.25</v>
      </c>
      <c r="E4" s="5" t="n">
        <f aca="false">Ratios!E10</f>
        <v>1.37931034482759</v>
      </c>
      <c r="F4" s="4" t="n">
        <f aca="false">IF(ISNUMBER(E4),(E4-D4)/D4,"n/m")</f>
        <v>0.103448275862069</v>
      </c>
      <c r="G4" s="0" t="str">
        <f aca="false">IF(ISNUMBER(F4),IF(F4&gt;=0,"PASS","BREACH"),IF(C4="&lt;=","BREACH","PASS"))</f>
        <v>PASS</v>
      </c>
    </row>
    <row r="5" customFormat="false" ht="15" hidden="false" customHeight="false" outlineLevel="0" collapsed="false">
      <c r="A5" s="0" t="s">
        <v>76</v>
      </c>
      <c r="B5" s="0" t="s">
        <v>59</v>
      </c>
      <c r="C5" s="0" t="s">
        <v>74</v>
      </c>
      <c r="D5" s="6" t="n">
        <v>1.2</v>
      </c>
      <c r="E5" s="5" t="n">
        <f aca="false">Ratios!E11</f>
        <v>1.5</v>
      </c>
      <c r="F5" s="4" t="n">
        <f aca="false">IF(ISNUMBER(E5),(E5-D5)/D5,"n/m")</f>
        <v>0.25</v>
      </c>
      <c r="G5" s="0" t="str">
        <f aca="false">IF(ISNUMBER(F5),IF(F5&gt;=0,"PASS","BREACH"),IF(C5="&lt;=","BREACH","PASS"))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77</v>
      </c>
      <c r="B1" s="1" t="s">
        <v>64</v>
      </c>
      <c r="C1" s="1" t="s">
        <v>78</v>
      </c>
      <c r="D1" s="1" t="s">
        <v>79</v>
      </c>
    </row>
    <row r="2" customFormat="false" ht="15" hidden="false" customHeight="false" outlineLevel="0" collapsed="false">
      <c r="A2" s="0" t="s">
        <v>80</v>
      </c>
      <c r="B2" s="0" t="s">
        <v>71</v>
      </c>
      <c r="C2" s="0" t="n">
        <v>0.142857142858073</v>
      </c>
      <c r="D2" s="0" t="s">
        <v>81</v>
      </c>
    </row>
    <row r="3" customFormat="false" ht="15" hidden="false" customHeight="false" outlineLevel="0" collapsed="false">
      <c r="A3" s="0" t="s">
        <v>80</v>
      </c>
      <c r="B3" s="0" t="s">
        <v>73</v>
      </c>
      <c r="C3" s="0" t="n">
        <v>0.166666666666667</v>
      </c>
      <c r="D3" s="0" t="s">
        <v>82</v>
      </c>
    </row>
    <row r="4" customFormat="false" ht="15" hidden="false" customHeight="false" outlineLevel="0" collapsed="false">
      <c r="A4" s="0" t="s">
        <v>80</v>
      </c>
      <c r="B4" s="0" t="s">
        <v>75</v>
      </c>
      <c r="C4" s="0" t="n">
        <v>0.0694444444444445</v>
      </c>
      <c r="D4" s="0" t="s">
        <v>83</v>
      </c>
    </row>
    <row r="5" customFormat="false" ht="15" hidden="false" customHeight="false" outlineLevel="0" collapsed="false">
      <c r="A5" s="0" t="s">
        <v>80</v>
      </c>
      <c r="B5" s="0" t="s">
        <v>76</v>
      </c>
      <c r="D5" s="0" t="s">
        <v>84</v>
      </c>
    </row>
    <row r="6" customFormat="false" ht="15" hidden="false" customHeight="false" outlineLevel="0" collapsed="false">
      <c r="A6" s="0" t="s">
        <v>85</v>
      </c>
      <c r="B6" s="0" t="s">
        <v>71</v>
      </c>
      <c r="D6" s="0" t="s">
        <v>86</v>
      </c>
    </row>
    <row r="7" customFormat="false" ht="15" hidden="false" customHeight="false" outlineLevel="0" collapsed="false">
      <c r="A7" s="0" t="s">
        <v>85</v>
      </c>
      <c r="B7" s="0" t="s">
        <v>73</v>
      </c>
      <c r="C7" s="0" t="n">
        <v>308.641975308642</v>
      </c>
      <c r="D7" s="0" t="s">
        <v>87</v>
      </c>
    </row>
    <row r="8" customFormat="false" ht="15" hidden="false" customHeight="false" outlineLevel="0" collapsed="false">
      <c r="A8" s="0" t="s">
        <v>85</v>
      </c>
      <c r="B8" s="0" t="s">
        <v>75</v>
      </c>
      <c r="C8" s="0" t="n">
        <v>308.641975308642</v>
      </c>
      <c r="D8" s="0" t="s">
        <v>87</v>
      </c>
    </row>
    <row r="9" customFormat="false" ht="15" hidden="false" customHeight="false" outlineLevel="0" collapsed="false">
      <c r="A9" s="0" t="s">
        <v>85</v>
      </c>
      <c r="B9" s="0" t="s">
        <v>76</v>
      </c>
      <c r="D9" s="0" t="s">
        <v>86</v>
      </c>
    </row>
    <row r="10" customFormat="false" ht="15" hidden="false" customHeight="false" outlineLevel="0" collapsed="false">
      <c r="A10" s="0" t="s">
        <v>88</v>
      </c>
      <c r="B10" s="0" t="s">
        <v>71</v>
      </c>
      <c r="C10" s="0" t="n">
        <v>0.0612244897951278</v>
      </c>
      <c r="D10" s="0" t="s">
        <v>89</v>
      </c>
    </row>
    <row r="11" customFormat="false" ht="15" hidden="false" customHeight="false" outlineLevel="0" collapsed="false">
      <c r="A11" s="0" t="s">
        <v>88</v>
      </c>
      <c r="B11" s="0" t="s">
        <v>73</v>
      </c>
      <c r="C11" s="0" t="n">
        <v>0.0714285714285714</v>
      </c>
      <c r="D11" s="0" t="s">
        <v>90</v>
      </c>
    </row>
    <row r="12" customFormat="false" ht="15" hidden="false" customHeight="false" outlineLevel="0" collapsed="false">
      <c r="A12" s="0" t="s">
        <v>88</v>
      </c>
      <c r="B12" s="0" t="s">
        <v>75</v>
      </c>
      <c r="C12" s="0" t="n">
        <v>0.0297619047619048</v>
      </c>
      <c r="D12" s="0" t="s">
        <v>91</v>
      </c>
    </row>
    <row r="13" customFormat="false" ht="15" hidden="false" customHeight="false" outlineLevel="0" collapsed="false">
      <c r="A13" s="0" t="s">
        <v>88</v>
      </c>
      <c r="B13" s="0" t="s">
        <v>76</v>
      </c>
      <c r="D13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92</v>
      </c>
      <c r="B1" s="1" t="s">
        <v>2</v>
      </c>
      <c r="C1" s="1" t="s">
        <v>3</v>
      </c>
      <c r="D1" s="1" t="s">
        <v>4</v>
      </c>
    </row>
    <row r="2" customFormat="false" ht="15" hidden="false" customHeight="false" outlineLevel="0" collapsed="false">
      <c r="A2" s="0" t="s">
        <v>5</v>
      </c>
      <c r="B2" s="0" t="s">
        <v>93</v>
      </c>
      <c r="C2" s="0" t="s">
        <v>93</v>
      </c>
      <c r="D2" s="0" t="s">
        <v>93</v>
      </c>
    </row>
    <row r="3" customFormat="false" ht="15" hidden="false" customHeight="false" outlineLevel="0" collapsed="false">
      <c r="A3" s="0" t="s">
        <v>7</v>
      </c>
      <c r="B3" s="0" t="s">
        <v>94</v>
      </c>
      <c r="C3" s="0" t="s">
        <v>94</v>
      </c>
      <c r="D3" s="0" t="s">
        <v>94</v>
      </c>
    </row>
    <row r="4" customFormat="false" ht="15" hidden="false" customHeight="false" outlineLevel="0" collapsed="false">
      <c r="A4" s="0" t="s">
        <v>8</v>
      </c>
      <c r="B4" s="0" t="s">
        <v>95</v>
      </c>
      <c r="C4" s="0" t="s">
        <v>95</v>
      </c>
      <c r="D4" s="0" t="s">
        <v>95</v>
      </c>
    </row>
    <row r="5" customFormat="false" ht="15" hidden="false" customHeight="false" outlineLevel="0" collapsed="false">
      <c r="A5" s="0" t="s">
        <v>9</v>
      </c>
      <c r="B5" s="0" t="s">
        <v>96</v>
      </c>
      <c r="C5" s="0" t="s">
        <v>96</v>
      </c>
      <c r="D5" s="0" t="s">
        <v>96</v>
      </c>
    </row>
    <row r="6" customFormat="false" ht="15" hidden="false" customHeight="false" outlineLevel="0" collapsed="false">
      <c r="A6" s="0" t="s">
        <v>10</v>
      </c>
      <c r="B6" s="0" t="s">
        <v>97</v>
      </c>
      <c r="C6" s="0" t="s">
        <v>97</v>
      </c>
      <c r="D6" s="0" t="s">
        <v>97</v>
      </c>
    </row>
    <row r="7" customFormat="false" ht="15" hidden="false" customHeight="false" outlineLevel="0" collapsed="false">
      <c r="A7" s="0" t="s">
        <v>11</v>
      </c>
      <c r="B7" s="0" t="s">
        <v>98</v>
      </c>
      <c r="C7" s="0" t="s">
        <v>98</v>
      </c>
      <c r="D7" s="0" t="s">
        <v>98</v>
      </c>
    </row>
    <row r="8" customFormat="false" ht="15" hidden="false" customHeight="false" outlineLevel="0" collapsed="false">
      <c r="A8" s="0" t="s">
        <v>12</v>
      </c>
      <c r="B8" s="0" t="s">
        <v>99</v>
      </c>
      <c r="C8" s="0" t="s">
        <v>99</v>
      </c>
      <c r="D8" s="0" t="s">
        <v>99</v>
      </c>
    </row>
    <row r="9" customFormat="false" ht="15" hidden="false" customHeight="false" outlineLevel="0" collapsed="false">
      <c r="A9" s="0" t="s">
        <v>13</v>
      </c>
      <c r="B9" s="0" t="s">
        <v>100</v>
      </c>
      <c r="C9" s="0" t="s">
        <v>100</v>
      </c>
      <c r="D9" s="0" t="s">
        <v>100</v>
      </c>
    </row>
    <row r="10" customFormat="false" ht="15" hidden="false" customHeight="false" outlineLevel="0" collapsed="false">
      <c r="A10" s="0" t="s">
        <v>14</v>
      </c>
      <c r="B10" s="0" t="s">
        <v>101</v>
      </c>
      <c r="C10" s="0" t="s">
        <v>101</v>
      </c>
      <c r="D10" s="0" t="s">
        <v>101</v>
      </c>
    </row>
    <row r="11" customFormat="false" ht="15" hidden="false" customHeight="false" outlineLevel="0" collapsed="false">
      <c r="A11" s="0" t="s">
        <v>15</v>
      </c>
      <c r="B11" s="0" t="s">
        <v>102</v>
      </c>
      <c r="C11" s="0" t="s">
        <v>102</v>
      </c>
      <c r="D11" s="0" t="s">
        <v>102</v>
      </c>
    </row>
    <row r="12" customFormat="false" ht="15" hidden="false" customHeight="false" outlineLevel="0" collapsed="false">
      <c r="A12" s="0" t="s">
        <v>16</v>
      </c>
      <c r="B12" s="0" t="s">
        <v>103</v>
      </c>
      <c r="C12" s="0" t="s">
        <v>103</v>
      </c>
      <c r="D12" s="0" t="s">
        <v>103</v>
      </c>
    </row>
    <row r="13" customFormat="false" ht="15" hidden="false" customHeight="false" outlineLevel="0" collapsed="false">
      <c r="A13" s="0" t="s">
        <v>18</v>
      </c>
      <c r="B13" s="0" t="s">
        <v>104</v>
      </c>
      <c r="C13" s="0" t="s">
        <v>104</v>
      </c>
      <c r="D13" s="0" t="s">
        <v>104</v>
      </c>
    </row>
    <row r="14" customFormat="false" ht="15" hidden="false" customHeight="false" outlineLevel="0" collapsed="false">
      <c r="A14" s="0" t="s">
        <v>19</v>
      </c>
      <c r="B14" s="0" t="s">
        <v>105</v>
      </c>
      <c r="C14" s="0" t="s">
        <v>105</v>
      </c>
      <c r="D14" s="0" t="s">
        <v>105</v>
      </c>
    </row>
    <row r="15" customFormat="false" ht="15" hidden="false" customHeight="false" outlineLevel="0" collapsed="false">
      <c r="A15" s="0" t="s">
        <v>20</v>
      </c>
      <c r="B15" s="0" t="s">
        <v>106</v>
      </c>
      <c r="C15" s="0" t="s">
        <v>106</v>
      </c>
      <c r="D15" s="0" t="s">
        <v>106</v>
      </c>
    </row>
    <row r="16" customFormat="false" ht="15" hidden="false" customHeight="false" outlineLevel="0" collapsed="false">
      <c r="A16" s="0" t="s">
        <v>21</v>
      </c>
      <c r="B16" s="0" t="s">
        <v>107</v>
      </c>
      <c r="C16" s="0" t="s">
        <v>107</v>
      </c>
      <c r="D16" s="0" t="s">
        <v>107</v>
      </c>
    </row>
    <row r="17" customFormat="false" ht="15" hidden="false" customHeight="false" outlineLevel="0" collapsed="false">
      <c r="A17" s="0" t="s">
        <v>22</v>
      </c>
      <c r="B17" s="0" t="s">
        <v>108</v>
      </c>
      <c r="C17" s="0" t="s">
        <v>108</v>
      </c>
      <c r="D17" s="0" t="s">
        <v>108</v>
      </c>
    </row>
    <row r="18" customFormat="false" ht="15" hidden="false" customHeight="false" outlineLevel="0" collapsed="false">
      <c r="A18" s="0" t="s">
        <v>23</v>
      </c>
      <c r="B18" s="0" t="s">
        <v>109</v>
      </c>
      <c r="C18" s="0" t="s">
        <v>109</v>
      </c>
      <c r="D18" s="0" t="s">
        <v>109</v>
      </c>
    </row>
    <row r="19" customFormat="false" ht="15" hidden="false" customHeight="false" outlineLevel="0" collapsed="false">
      <c r="A19" s="0" t="s">
        <v>24</v>
      </c>
      <c r="B19" s="0" t="s">
        <v>110</v>
      </c>
      <c r="C19" s="0" t="s">
        <v>110</v>
      </c>
      <c r="D19" s="0" t="s">
        <v>110</v>
      </c>
    </row>
    <row r="20" customFormat="false" ht="15" hidden="false" customHeight="false" outlineLevel="0" collapsed="false">
      <c r="A20" s="0" t="s">
        <v>25</v>
      </c>
      <c r="B20" s="0" t="s">
        <v>111</v>
      </c>
      <c r="C20" s="0" t="s">
        <v>111</v>
      </c>
      <c r="D20" s="0" t="s">
        <v>111</v>
      </c>
    </row>
    <row r="21" customFormat="false" ht="15" hidden="false" customHeight="false" outlineLevel="0" collapsed="false">
      <c r="A21" s="0" t="s">
        <v>26</v>
      </c>
      <c r="B21" s="0" t="s">
        <v>112</v>
      </c>
      <c r="C21" s="0" t="s">
        <v>112</v>
      </c>
      <c r="D21" s="0" t="s">
        <v>112</v>
      </c>
    </row>
    <row r="22" customFormat="false" ht="15" hidden="false" customHeight="false" outlineLevel="0" collapsed="false">
      <c r="A22" s="0" t="s">
        <v>27</v>
      </c>
      <c r="B22" s="0" t="s">
        <v>113</v>
      </c>
      <c r="C22" s="0" t="s">
        <v>113</v>
      </c>
      <c r="D22" s="0" t="s">
        <v>113</v>
      </c>
    </row>
    <row r="23" customFormat="false" ht="15" hidden="false" customHeight="false" outlineLevel="0" collapsed="false">
      <c r="A23" s="0" t="s">
        <v>28</v>
      </c>
      <c r="B23" s="0" t="s">
        <v>114</v>
      </c>
      <c r="C23" s="0" t="s">
        <v>114</v>
      </c>
      <c r="D23" s="0" t="s">
        <v>114</v>
      </c>
    </row>
    <row r="24" customFormat="false" ht="15" hidden="false" customHeight="false" outlineLevel="0" collapsed="false">
      <c r="A24" s="0" t="s">
        <v>29</v>
      </c>
      <c r="B24" s="0" t="s">
        <v>115</v>
      </c>
      <c r="C24" s="0" t="s">
        <v>115</v>
      </c>
      <c r="D24" s="0" t="s">
        <v>115</v>
      </c>
    </row>
    <row r="25" customFormat="false" ht="15" hidden="false" customHeight="false" outlineLevel="0" collapsed="false">
      <c r="A25" s="0" t="s">
        <v>31</v>
      </c>
      <c r="B25" s="0" t="s">
        <v>116</v>
      </c>
      <c r="C25" s="0" t="s">
        <v>116</v>
      </c>
      <c r="D25" s="0" t="s">
        <v>116</v>
      </c>
    </row>
    <row r="26" customFormat="false" ht="15" hidden="false" customHeight="false" outlineLevel="0" collapsed="false">
      <c r="A26" s="0" t="s">
        <v>32</v>
      </c>
      <c r="B26" s="0" t="s">
        <v>117</v>
      </c>
      <c r="C26" s="0" t="s">
        <v>117</v>
      </c>
      <c r="D26" s="0" t="s">
        <v>117</v>
      </c>
    </row>
    <row r="27" customFormat="false" ht="15" hidden="false" customHeight="false" outlineLevel="0" collapsed="false">
      <c r="A27" s="0" t="s">
        <v>33</v>
      </c>
      <c r="B27" s="0" t="s">
        <v>118</v>
      </c>
      <c r="C27" s="0" t="s">
        <v>118</v>
      </c>
      <c r="D27" s="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2026-10-04T01:55:41Z</dcterms:created>
  <dc:creator>openpyxl</dc:creator>
  <dc:description/>
  <dc:language>en-US</dc:language>
  <cp:lastModifiedBy/>
  <dcterms:modified xsi:type="dcterms:W3CDTF">2026-10-04T01:55:41Z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