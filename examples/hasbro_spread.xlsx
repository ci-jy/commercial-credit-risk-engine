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pread" sheetId="1" state="visible" r:id="rId3"/>
    <sheet name="Ratios" sheetId="2" state="visible" r:id="rId4"/>
    <sheet name="Covenants" sheetId="3" state="visible" r:id="rId5"/>
    <sheet name="Stres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<sst xmlns="http://schemas.openxmlformats.org/spreadsheetml/2006/main" count="287" uniqueCount="124">
  <si>
    <t xml:space="preserve">Line item ($M)</t>
  </si>
  <si>
    <t xml:space="preserve">Statement</t>
  </si>
  <si>
    <t xml:space="preserve">FY2022</t>
  </si>
  <si>
    <t xml:space="preserve">FY2023</t>
  </si>
  <si>
    <t xml:space="preserve">FY2024</t>
  </si>
  <si>
    <t xml:space="preserve">FY2025</t>
  </si>
  <si>
    <t xml:space="preserve">revenue</t>
  </si>
  <si>
    <t xml:space="preserve">IS</t>
  </si>
  <si>
    <t xml:space="preserve">cogs</t>
  </si>
  <si>
    <t xml:space="preserve">operating_income</t>
  </si>
  <si>
    <t xml:space="preserve">depreciation_amortization</t>
  </si>
  <si>
    <t xml:space="preserve">impairments</t>
  </si>
  <si>
    <t xml:space="preserve">interest_expense</t>
  </si>
  <si>
    <t xml:space="preserve">pretax_income</t>
  </si>
  <si>
    <t xml:space="preserve">income_tax</t>
  </si>
  <si>
    <t xml:space="preserve">net_income</t>
  </si>
  <si>
    <t xml:space="preserve">operating_lease_cost</t>
  </si>
  <si>
    <t xml:space="preserve">cash</t>
  </si>
  <si>
    <t xml:space="preserve">BS</t>
  </si>
  <si>
    <t xml:space="preserve">receivables</t>
  </si>
  <si>
    <t xml:space="preserve">inventory</t>
  </si>
  <si>
    <t xml:space="preserve">current_assets</t>
  </si>
  <si>
    <t xml:space="preserve">total_assets</t>
  </si>
  <si>
    <t xml:space="preserve">current_liabilities</t>
  </si>
  <si>
    <t xml:space="preserve">short_term_borrowings</t>
  </si>
  <si>
    <t xml:space="preserve">current_portion_ltd</t>
  </si>
  <si>
    <t xml:space="preserve">long_term_debt</t>
  </si>
  <si>
    <t xml:space="preserve">total_liabilities</t>
  </si>
  <si>
    <t xml:space="preserve">total_equity</t>
  </si>
  <si>
    <t xml:space="preserve">retained_earnings</t>
  </si>
  <si>
    <t xml:space="preserve">cfo</t>
  </si>
  <si>
    <t xml:space="preserve">CF</t>
  </si>
  <si>
    <t xml:space="preserve">capex</t>
  </si>
  <si>
    <t xml:space="preserve">cash_taxes</t>
  </si>
  <si>
    <t xml:space="preserve">dividends</t>
  </si>
  <si>
    <t xml:space="preserve">Period end</t>
  </si>
  <si>
    <t xml:space="preserve">2022-12-25</t>
  </si>
  <si>
    <t xml:space="preserve">2023-12-31</t>
  </si>
  <si>
    <t xml:space="preserve">2024-12-29</t>
  </si>
  <si>
    <t xml:space="preserve">2025-12-28</t>
  </si>
  <si>
    <t xml:space="preserve">Ratio</t>
  </si>
  <si>
    <t xml:space="preserve">Key</t>
  </si>
  <si>
    <t xml:space="preserve">EBITDA</t>
  </si>
  <si>
    <t xml:space="preserve">ebitda</t>
  </si>
  <si>
    <t xml:space="preserve">Total debt</t>
  </si>
  <si>
    <t xml:space="preserve">total_debt</t>
  </si>
  <si>
    <t xml:space="preserve">Net debt</t>
  </si>
  <si>
    <t xml:space="preserve">net_debt</t>
  </si>
  <si>
    <t xml:space="preserve">EBITDA margin</t>
  </si>
  <si>
    <t xml:space="preserve">ebitda_margin</t>
  </si>
  <si>
    <t xml:space="preserve">Debt / EBITDA (x)</t>
  </si>
  <si>
    <t xml:space="preserve">debt_to_ebitda</t>
  </si>
  <si>
    <t xml:space="preserve">Net debt / EBITDA (x)</t>
  </si>
  <si>
    <t xml:space="preserve">net_leverage</t>
  </si>
  <si>
    <t xml:space="preserve">EBIT / interest (x)</t>
  </si>
  <si>
    <t xml:space="preserve">interest_coverage</t>
  </si>
  <si>
    <t xml:space="preserve">DSCR (x)</t>
  </si>
  <si>
    <t xml:space="preserve">dscr</t>
  </si>
  <si>
    <t xml:space="preserve">Fixed-charge coverage (x)</t>
  </si>
  <si>
    <t xml:space="preserve">fccr</t>
  </si>
  <si>
    <t xml:space="preserve">Current ratio (x)</t>
  </si>
  <si>
    <t xml:space="preserve">current_ratio</t>
  </si>
  <si>
    <t xml:space="preserve">Free cash flow</t>
  </si>
  <si>
    <t xml:space="preserve">free_cash_flow</t>
  </si>
  <si>
    <t xml:space="preserve">Debt / equity (x)</t>
  </si>
  <si>
    <t xml:space="preserve">debt_to_equity</t>
  </si>
  <si>
    <t xml:space="preserve">Covenant</t>
  </si>
  <si>
    <t xml:space="preserve">Metric</t>
  </si>
  <si>
    <t xml:space="preserve">Test</t>
  </si>
  <si>
    <t xml:space="preserve">Threshold</t>
  </si>
  <si>
    <t xml:space="preserve">Actual FY2025</t>
  </si>
  <si>
    <t xml:space="preserve">Headroom</t>
  </si>
  <si>
    <t xml:space="preserve">Status</t>
  </si>
  <si>
    <t xml:space="preserve">Max total leverage</t>
  </si>
  <si>
    <t xml:space="preserve">&lt;=</t>
  </si>
  <si>
    <t xml:space="preserve">Min interest coverage</t>
  </si>
  <si>
    <t xml:space="preserve">&gt;=</t>
  </si>
  <si>
    <t xml:space="preserve">Min fixed-charge coverage</t>
  </si>
  <si>
    <t xml:space="preserve">Min current ratio</t>
  </si>
  <si>
    <t xml:space="preserve">Scenario</t>
  </si>
  <si>
    <t xml:space="preserve">Breaking shock</t>
  </si>
  <si>
    <t xml:space="preserve">Result</t>
  </si>
  <si>
    <t xml:space="preserve">ebitda_shock</t>
  </si>
  <si>
    <t xml:space="preserve">breaks at -20.2%</t>
  </si>
  <si>
    <t xml:space="preserve">breaks at -46.5%</t>
  </si>
  <si>
    <t xml:space="preserve">breaks at -6.4%</t>
  </si>
  <si>
    <t xml:space="preserve">holds to -100.0%</t>
  </si>
  <si>
    <t xml:space="preserve">rate_shock</t>
  </si>
  <si>
    <t xml:space="preserve">holds to +2,000 bp</t>
  </si>
  <si>
    <t xml:space="preserve">breaks at +1,830 bp</t>
  </si>
  <si>
    <t xml:space="preserve">revenue_decline</t>
  </si>
  <si>
    <t xml:space="preserve">breaks at -6.9%</t>
  </si>
  <si>
    <t xml:space="preserve">breaks at -15.9%</t>
  </si>
  <si>
    <t xml:space="preserve">breaks at -2.2%</t>
  </si>
  <si>
    <t xml:space="preserve">Line item</t>
  </si>
  <si>
    <t xml:space="preserve">RevenueFromContractWithCustomerExcludingAssessedTax</t>
  </si>
  <si>
    <t xml:space="preserve">CostOfGoodsAndServicesSold</t>
  </si>
  <si>
    <t xml:space="preserve">OperatingIncomeLoss</t>
  </si>
  <si>
    <t xml:space="preserve">DepreciationDepletionAndAmortization</t>
  </si>
  <si>
    <t xml:space="preserve">GoodwillImpairmentLoss</t>
  </si>
  <si>
    <t xml:space="preserve">InterestExpense</t>
  </si>
  <si>
    <t xml:space="preserve">InterestExpenseNonoperating</t>
  </si>
  <si>
    <t xml:space="preserve">IncomeLossFromContinuingOperationsBeforeIncomeTaxesExtraordinaryItemsNoncontrollingInterest</t>
  </si>
  <si>
    <t xml:space="preserve">IncomeTaxExpenseBenefit</t>
  </si>
  <si>
    <t xml:space="preserve">NetIncomeLoss</t>
  </si>
  <si>
    <t xml:space="preserve">OperatingLeaseCost</t>
  </si>
  <si>
    <t xml:space="preserve">CashCashEquivalentsRestrictedCashAndRestrictedCashEquivalents</t>
  </si>
  <si>
    <t xml:space="preserve">AccountsReceivableNetCurrent</t>
  </si>
  <si>
    <t xml:space="preserve">InventoryNet</t>
  </si>
  <si>
    <t xml:space="preserve">AssetsCurrent</t>
  </si>
  <si>
    <t xml:space="preserve">Assets</t>
  </si>
  <si>
    <t xml:space="preserve">LiabilitiesCurrent</t>
  </si>
  <si>
    <t xml:space="preserve">ShortTermBorrowings</t>
  </si>
  <si>
    <t xml:space="preserve">not reported (0)</t>
  </si>
  <si>
    <t xml:space="preserve">LongTermDebtCurrent</t>
  </si>
  <si>
    <t xml:space="preserve">LongTermDebtNoncurrent</t>
  </si>
  <si>
    <t xml:space="preserve">Liabilities</t>
  </si>
  <si>
    <t xml:space="preserve">StockholdersEquityIncludingPortionAttributableToNoncontrollingInterest</t>
  </si>
  <si>
    <t xml:space="preserve">RetainedEarningsAccumulatedDeficit</t>
  </si>
  <si>
    <t xml:space="preserve">NetCashProvidedByUsedInOperatingActivities</t>
  </si>
  <si>
    <t xml:space="preserve">PaymentsToAcquirePropertyPlantAndEquipment</t>
  </si>
  <si>
    <t xml:space="preserve">IncomeTaxesPaid</t>
  </si>
  <si>
    <t xml:space="preserve">IncomeTaxesPaidNet</t>
  </si>
  <si>
    <t xml:space="preserve">PaymentsOfDividends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</si>
</sst>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%"/>
    <numFmt numFmtId="167" formatCode="0.00\x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2" t="n">
        <v>5856.7</v>
      </c>
      <c r="D2" s="2" t="n">
        <v>5003.3</v>
      </c>
      <c r="E2" s="2" t="n">
        <v>4135.5</v>
      </c>
      <c r="F2" s="2" t="n">
        <v>4701.3</v>
      </c>
    </row>
    <row r="3" customFormat="false" ht="15" hidden="false" customHeight="false" outlineLevel="0" collapsed="false">
      <c r="A3" s="0" t="s">
        <v>8</v>
      </c>
      <c r="B3" s="0" t="s">
        <v>7</v>
      </c>
      <c r="C3" s="2" t="n">
        <v>1911.8</v>
      </c>
      <c r="D3" s="2" t="n">
        <v>1706</v>
      </c>
      <c r="E3" s="2" t="n">
        <v>1179.5</v>
      </c>
      <c r="F3" s="2" t="n">
        <v>1296.2</v>
      </c>
    </row>
    <row r="4" customFormat="false" ht="15" hidden="false" customHeight="false" outlineLevel="0" collapsed="false">
      <c r="A4" s="0" t="s">
        <v>9</v>
      </c>
      <c r="B4" s="0" t="s">
        <v>7</v>
      </c>
      <c r="C4" s="2" t="n">
        <v>407.7</v>
      </c>
      <c r="D4" s="2" t="n">
        <v>-1538.8</v>
      </c>
      <c r="E4" s="2" t="n">
        <v>690</v>
      </c>
      <c r="F4" s="2" t="n">
        <v>11.1</v>
      </c>
    </row>
    <row r="5" customFormat="false" ht="15" hidden="false" customHeight="false" outlineLevel="0" collapsed="false">
      <c r="A5" s="0" t="s">
        <v>10</v>
      </c>
      <c r="B5" s="0" t="s">
        <v>7</v>
      </c>
      <c r="C5" s="2" t="n">
        <v>232.5</v>
      </c>
      <c r="D5" s="2" t="n">
        <v>210.7</v>
      </c>
      <c r="E5" s="2" t="n">
        <v>163</v>
      </c>
      <c r="F5" s="2" t="n">
        <v>135.5</v>
      </c>
    </row>
    <row r="6" customFormat="false" ht="15" hidden="false" customHeight="false" outlineLevel="0" collapsed="false">
      <c r="A6" s="0" t="s">
        <v>11</v>
      </c>
      <c r="B6" s="0" t="s">
        <v>7</v>
      </c>
      <c r="C6" s="2" t="n">
        <v>0</v>
      </c>
      <c r="D6" s="2" t="n">
        <v>1191.2</v>
      </c>
      <c r="E6" s="2" t="n">
        <v>0</v>
      </c>
      <c r="F6" s="2" t="n">
        <v>1021.9</v>
      </c>
    </row>
    <row r="7" customFormat="false" ht="15" hidden="false" customHeight="false" outlineLevel="0" collapsed="false">
      <c r="A7" s="0" t="s">
        <v>12</v>
      </c>
      <c r="B7" s="0" t="s">
        <v>7</v>
      </c>
      <c r="C7" s="2" t="n">
        <v>171</v>
      </c>
      <c r="D7" s="2" t="n">
        <v>186.3</v>
      </c>
      <c r="E7" s="2" t="n">
        <v>171.2</v>
      </c>
      <c r="F7" s="2" t="n">
        <v>163.4</v>
      </c>
    </row>
    <row r="8" customFormat="false" ht="15" hidden="false" customHeight="false" outlineLevel="0" collapsed="false">
      <c r="A8" s="0" t="s">
        <v>13</v>
      </c>
      <c r="B8" s="0" t="s">
        <v>7</v>
      </c>
      <c r="C8" s="2" t="n">
        <v>261.5</v>
      </c>
      <c r="D8" s="2" t="n">
        <v>-1709.1</v>
      </c>
      <c r="E8" s="2" t="n">
        <v>497</v>
      </c>
      <c r="F8" s="2" t="n">
        <v>-102</v>
      </c>
    </row>
    <row r="9" customFormat="false" ht="15" hidden="false" customHeight="false" outlineLevel="0" collapsed="false">
      <c r="A9" s="0" t="s">
        <v>14</v>
      </c>
      <c r="B9" s="0" t="s">
        <v>7</v>
      </c>
      <c r="C9" s="2" t="n">
        <v>58.5</v>
      </c>
      <c r="D9" s="2" t="n">
        <v>-221.3</v>
      </c>
      <c r="E9" s="2" t="n">
        <v>102.6</v>
      </c>
      <c r="F9" s="2" t="n">
        <v>216.2</v>
      </c>
    </row>
    <row r="10" customFormat="false" ht="15" hidden="false" customHeight="false" outlineLevel="0" collapsed="false">
      <c r="A10" s="0" t="s">
        <v>15</v>
      </c>
      <c r="B10" s="0" t="s">
        <v>7</v>
      </c>
      <c r="C10" s="2" t="n">
        <v>203.5</v>
      </c>
      <c r="D10" s="2" t="n">
        <v>-1489.3</v>
      </c>
      <c r="E10" s="2" t="n">
        <v>385.6</v>
      </c>
      <c r="F10" s="2" t="n">
        <v>-322.4</v>
      </c>
    </row>
    <row r="11" customFormat="false" ht="15" hidden="false" customHeight="false" outlineLevel="0" collapsed="false">
      <c r="A11" s="0" t="s">
        <v>16</v>
      </c>
      <c r="B11" s="0" t="s">
        <v>7</v>
      </c>
      <c r="C11" s="2" t="n">
        <v>46.2</v>
      </c>
      <c r="D11" s="2" t="n">
        <v>44.2</v>
      </c>
      <c r="E11" s="2" t="n">
        <v>35.4</v>
      </c>
      <c r="F11" s="2" t="n">
        <v>32.8</v>
      </c>
    </row>
    <row r="12" customFormat="false" ht="15" hidden="false" customHeight="false" outlineLevel="0" collapsed="false">
      <c r="A12" s="0" t="s">
        <v>17</v>
      </c>
      <c r="B12" s="0" t="s">
        <v>18</v>
      </c>
      <c r="C12" s="2" t="n">
        <v>513.1</v>
      </c>
      <c r="D12" s="2" t="n">
        <v>545.4</v>
      </c>
      <c r="E12" s="2" t="n">
        <v>695</v>
      </c>
      <c r="F12" s="2" t="n">
        <v>776.6</v>
      </c>
    </row>
    <row r="13" customFormat="false" ht="15" hidden="false" customHeight="false" outlineLevel="0" collapsed="false">
      <c r="A13" s="0" t="s">
        <v>19</v>
      </c>
      <c r="B13" s="0" t="s">
        <v>18</v>
      </c>
      <c r="C13" s="2" t="n">
        <v>1132.4</v>
      </c>
      <c r="D13" s="2" t="n">
        <v>1029.3</v>
      </c>
      <c r="E13" s="2" t="n">
        <v>919.8</v>
      </c>
      <c r="F13" s="2" t="n">
        <v>1059.8</v>
      </c>
    </row>
    <row r="14" customFormat="false" ht="15" hidden="false" customHeight="false" outlineLevel="0" collapsed="false">
      <c r="A14" s="0" t="s">
        <v>20</v>
      </c>
      <c r="B14" s="0" t="s">
        <v>18</v>
      </c>
      <c r="C14" s="2" t="n">
        <v>676.8</v>
      </c>
      <c r="D14" s="2" t="n">
        <v>332</v>
      </c>
      <c r="E14" s="2" t="n">
        <v>274.2</v>
      </c>
      <c r="F14" s="2" t="n">
        <v>259.8</v>
      </c>
    </row>
    <row r="15" customFormat="false" ht="15" hidden="false" customHeight="false" outlineLevel="0" collapsed="false">
      <c r="A15" s="0" t="s">
        <v>21</v>
      </c>
      <c r="B15" s="0" t="s">
        <v>18</v>
      </c>
      <c r="C15" s="2" t="n">
        <v>2999.1</v>
      </c>
      <c r="D15" s="2" t="n">
        <v>2323.6</v>
      </c>
      <c r="E15" s="2" t="n">
        <v>2242.5</v>
      </c>
      <c r="F15" s="2" t="n">
        <v>2583.7</v>
      </c>
    </row>
    <row r="16" customFormat="false" ht="15" hidden="false" customHeight="false" outlineLevel="0" collapsed="false">
      <c r="A16" s="0" t="s">
        <v>22</v>
      </c>
      <c r="B16" s="0" t="s">
        <v>18</v>
      </c>
      <c r="C16" s="2" t="n">
        <v>9295.9</v>
      </c>
      <c r="D16" s="2" t="n">
        <v>6540.9</v>
      </c>
      <c r="E16" s="2" t="n">
        <v>6340.3</v>
      </c>
      <c r="F16" s="2" t="n">
        <v>5552</v>
      </c>
    </row>
    <row r="17" customFormat="false" ht="15" hidden="false" customHeight="false" outlineLevel="0" collapsed="false">
      <c r="A17" s="0" t="s">
        <v>23</v>
      </c>
      <c r="B17" s="0" t="s">
        <v>18</v>
      </c>
      <c r="C17" s="2" t="n">
        <v>2189.7</v>
      </c>
      <c r="D17" s="2" t="n">
        <v>2056.4</v>
      </c>
      <c r="E17" s="2" t="n">
        <v>1401.3</v>
      </c>
      <c r="F17" s="2" t="n">
        <v>1871.1</v>
      </c>
    </row>
    <row r="18" customFormat="false" ht="15" hidden="false" customHeight="false" outlineLevel="0" collapsed="false">
      <c r="A18" s="0" t="s">
        <v>24</v>
      </c>
      <c r="B18" s="0" t="s">
        <v>18</v>
      </c>
      <c r="C18" s="2" t="n">
        <v>142.4</v>
      </c>
      <c r="D18" s="2" t="n">
        <v>0</v>
      </c>
      <c r="E18" s="2" t="n">
        <v>0</v>
      </c>
      <c r="F18" s="2" t="n">
        <v>0</v>
      </c>
    </row>
    <row r="19" customFormat="false" ht="15" hidden="false" customHeight="false" outlineLevel="0" collapsed="false">
      <c r="A19" s="0" t="s">
        <v>25</v>
      </c>
      <c r="B19" s="0" t="s">
        <v>18</v>
      </c>
      <c r="C19" s="2" t="n">
        <v>113.2</v>
      </c>
      <c r="D19" s="2" t="n">
        <v>500</v>
      </c>
      <c r="E19" s="2" t="n">
        <v>0</v>
      </c>
      <c r="F19" s="2" t="n">
        <v>497</v>
      </c>
    </row>
    <row r="20" customFormat="false" ht="15" hidden="false" customHeight="false" outlineLevel="0" collapsed="false">
      <c r="A20" s="0" t="s">
        <v>26</v>
      </c>
      <c r="B20" s="0" t="s">
        <v>18</v>
      </c>
      <c r="C20" s="2" t="n">
        <v>3711.2</v>
      </c>
      <c r="D20" s="2" t="n">
        <v>2965.8</v>
      </c>
      <c r="E20" s="2" t="n">
        <v>3380.8</v>
      </c>
      <c r="F20" s="2" t="n">
        <v>2767.9</v>
      </c>
    </row>
    <row r="21" customFormat="false" ht="15" hidden="false" customHeight="false" outlineLevel="0" collapsed="false">
      <c r="A21" s="0" t="s">
        <v>27</v>
      </c>
      <c r="B21" s="0" t="s">
        <v>18</v>
      </c>
      <c r="C21" s="2" t="n">
        <v>6434</v>
      </c>
      <c r="D21" s="2" t="n">
        <v>5453.9</v>
      </c>
      <c r="E21" s="2" t="n">
        <v>5155.3</v>
      </c>
      <c r="F21" s="2" t="n">
        <v>4986.5</v>
      </c>
    </row>
    <row r="22" customFormat="false" ht="15" hidden="false" customHeight="false" outlineLevel="0" collapsed="false">
      <c r="A22" s="0" t="s">
        <v>28</v>
      </c>
      <c r="B22" s="0" t="s">
        <v>18</v>
      </c>
      <c r="C22" s="2" t="n">
        <v>2861.9</v>
      </c>
      <c r="D22" s="2" t="n">
        <v>1087</v>
      </c>
      <c r="E22" s="2" t="n">
        <v>1185</v>
      </c>
      <c r="F22" s="2" t="n">
        <v>565.5</v>
      </c>
    </row>
    <row r="23" customFormat="false" ht="15" hidden="false" customHeight="false" outlineLevel="0" collapsed="false">
      <c r="A23" s="0" t="s">
        <v>29</v>
      </c>
      <c r="B23" s="0" t="s">
        <v>18</v>
      </c>
      <c r="C23" s="2" t="n">
        <v>4071.4</v>
      </c>
      <c r="D23" s="2" t="n">
        <v>2188.4</v>
      </c>
      <c r="E23" s="2" t="n">
        <v>2274.2</v>
      </c>
      <c r="F23" s="2" t="n">
        <v>1554.1</v>
      </c>
    </row>
    <row r="24" customFormat="false" ht="15" hidden="false" customHeight="false" outlineLevel="0" collapsed="false">
      <c r="A24" s="0" t="s">
        <v>30</v>
      </c>
      <c r="B24" s="0" t="s">
        <v>31</v>
      </c>
      <c r="C24" s="2" t="n">
        <v>372.9</v>
      </c>
      <c r="D24" s="2" t="n">
        <v>725.6</v>
      </c>
      <c r="E24" s="2" t="n">
        <v>847.4</v>
      </c>
      <c r="F24" s="2" t="n">
        <v>893.2</v>
      </c>
    </row>
    <row r="25" customFormat="false" ht="15" hidden="false" customHeight="false" outlineLevel="0" collapsed="false">
      <c r="A25" s="0" t="s">
        <v>32</v>
      </c>
      <c r="B25" s="0" t="s">
        <v>31</v>
      </c>
      <c r="C25" s="2" t="n">
        <v>128.2</v>
      </c>
      <c r="D25" s="2" t="n">
        <v>135.5</v>
      </c>
      <c r="E25" s="2" t="n">
        <v>87.2</v>
      </c>
      <c r="F25" s="2" t="n">
        <v>63.3</v>
      </c>
    </row>
    <row r="26" customFormat="false" ht="15" hidden="false" customHeight="false" outlineLevel="0" collapsed="false">
      <c r="A26" s="0" t="s">
        <v>33</v>
      </c>
      <c r="B26" s="0" t="s">
        <v>31</v>
      </c>
      <c r="C26" s="2" t="n">
        <v>177.2</v>
      </c>
      <c r="D26" s="2" t="n">
        <v>119.8</v>
      </c>
      <c r="E26" s="2" t="n">
        <v>92.7</v>
      </c>
      <c r="F26" s="2" t="n">
        <v>196.8</v>
      </c>
    </row>
    <row r="27" customFormat="false" ht="15" hidden="false" customHeight="false" outlineLevel="0" collapsed="false">
      <c r="A27" s="0" t="s">
        <v>34</v>
      </c>
      <c r="B27" s="0" t="s">
        <v>31</v>
      </c>
      <c r="C27" s="2" t="n">
        <v>385.3</v>
      </c>
      <c r="D27" s="2" t="n">
        <v>388</v>
      </c>
      <c r="E27" s="2" t="n">
        <v>389.9</v>
      </c>
      <c r="F27" s="2" t="n">
        <v>392.5</v>
      </c>
    </row>
    <row r="29" customFormat="false" ht="15" hidden="false" customHeight="false" outlineLevel="0" collapsed="false">
      <c r="A29" s="0" t="s">
        <v>35</v>
      </c>
      <c r="C29" s="0" t="s">
        <v>36</v>
      </c>
      <c r="D29" s="0" t="s">
        <v>37</v>
      </c>
      <c r="E29" s="0" t="s">
        <v>38</v>
      </c>
      <c r="F29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40</v>
      </c>
      <c r="B1" s="1" t="s">
        <v>41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42</v>
      </c>
      <c r="B2" s="0" t="s">
        <v>43</v>
      </c>
      <c r="C2" s="3" t="n">
        <f aca="false">Spread!C4+Spread!C5+Spread!C6</f>
        <v>640.2</v>
      </c>
      <c r="D2" s="3" t="n">
        <f aca="false">Spread!D4+Spread!D5+Spread!D6</f>
        <v>-136.9</v>
      </c>
      <c r="E2" s="3" t="n">
        <f aca="false">Spread!E4+Spread!E5+Spread!E6</f>
        <v>853</v>
      </c>
      <c r="F2" s="3" t="n">
        <f aca="false">Spread!F4+Spread!F5+Spread!F6</f>
        <v>1168.5</v>
      </c>
    </row>
    <row r="3" customFormat="false" ht="15" hidden="false" customHeight="false" outlineLevel="0" collapsed="false">
      <c r="A3" s="0" t="s">
        <v>44</v>
      </c>
      <c r="B3" s="0" t="s">
        <v>45</v>
      </c>
      <c r="C3" s="3" t="n">
        <f aca="false">Spread!C18+Spread!C19+Spread!C20</f>
        <v>3966.8</v>
      </c>
      <c r="D3" s="3" t="n">
        <f aca="false">Spread!D18+Spread!D19+Spread!D20</f>
        <v>3465.8</v>
      </c>
      <c r="E3" s="3" t="n">
        <f aca="false">Spread!E18+Spread!E19+Spread!E20</f>
        <v>3380.8</v>
      </c>
      <c r="F3" s="3" t="n">
        <f aca="false">Spread!F18+Spread!F19+Spread!F20</f>
        <v>3264.9</v>
      </c>
    </row>
    <row r="4" customFormat="false" ht="15" hidden="false" customHeight="false" outlineLevel="0" collapsed="false">
      <c r="A4" s="0" t="s">
        <v>46</v>
      </c>
      <c r="B4" s="0" t="s">
        <v>47</v>
      </c>
      <c r="C4" s="3" t="n">
        <f aca="false">Spread!C18+Spread!C19+Spread!C20-Spread!C12</f>
        <v>3453.7</v>
      </c>
      <c r="D4" s="3" t="n">
        <f aca="false">Spread!D18+Spread!D19+Spread!D20-Spread!D12</f>
        <v>2920.4</v>
      </c>
      <c r="E4" s="3" t="n">
        <f aca="false">Spread!E18+Spread!E19+Spread!E20-Spread!E12</f>
        <v>2685.8</v>
      </c>
      <c r="F4" s="3" t="n">
        <f aca="false">Spread!F18+Spread!F19+Spread!F20-Spread!F12</f>
        <v>2488.3</v>
      </c>
    </row>
    <row r="5" customFormat="false" ht="15" hidden="false" customHeight="false" outlineLevel="0" collapsed="false">
      <c r="A5" s="0" t="s">
        <v>48</v>
      </c>
      <c r="B5" s="0" t="s">
        <v>49</v>
      </c>
      <c r="C5" s="4" t="n">
        <f aca="false">IF(Spread!C2=0,"n/m",C2/Spread!C2)</f>
        <v>0.109310703980057</v>
      </c>
      <c r="D5" s="4" t="n">
        <f aca="false">IF(Spread!D2=0,"n/m",D2/Spread!D2)</f>
        <v>-0.0273619411188615</v>
      </c>
      <c r="E5" s="4" t="n">
        <f aca="false">IF(Spread!E2=0,"n/m",E2/Spread!E2)</f>
        <v>0.206262846088744</v>
      </c>
      <c r="F5" s="4" t="n">
        <f aca="false">IF(Spread!F2=0,"n/m",F2/Spread!F2)</f>
        <v>0.248548273881692</v>
      </c>
    </row>
    <row r="6" customFormat="false" ht="15" hidden="false" customHeight="false" outlineLevel="0" collapsed="false">
      <c r="A6" s="0" t="s">
        <v>50</v>
      </c>
      <c r="B6" s="0" t="s">
        <v>51</v>
      </c>
      <c r="C6" s="5" t="n">
        <f aca="false">IF(C2&lt;=0,"n/m",C3/C2)</f>
        <v>6.19618869103405</v>
      </c>
      <c r="D6" s="5" t="str">
        <f aca="false">IF(D2&lt;=0,"n/m",D3/D2)</f>
        <v>n/m</v>
      </c>
      <c r="E6" s="5" t="n">
        <f aca="false">IF(E2&lt;=0,"n/m",E3/E2)</f>
        <v>3.96342321219226</v>
      </c>
      <c r="F6" s="5" t="n">
        <f aca="false">IF(F2&lt;=0,"n/m",F3/F2)</f>
        <v>2.79409499358151</v>
      </c>
    </row>
    <row r="7" customFormat="false" ht="15" hidden="false" customHeight="false" outlineLevel="0" collapsed="false">
      <c r="A7" s="0" t="s">
        <v>52</v>
      </c>
      <c r="B7" s="0" t="s">
        <v>53</v>
      </c>
      <c r="C7" s="5" t="n">
        <f aca="false">IF(C2&lt;=0,"n/m",C4/C2)</f>
        <v>5.39472039987504</v>
      </c>
      <c r="D7" s="5" t="str">
        <f aca="false">IF(D2&lt;=0,"n/m",D4/D2)</f>
        <v>n/m</v>
      </c>
      <c r="E7" s="5" t="n">
        <f aca="false">IF(E2&lt;=0,"n/m",E4/E2)</f>
        <v>3.14865181711606</v>
      </c>
      <c r="F7" s="5" t="n">
        <f aca="false">IF(F2&lt;=0,"n/m",F4/F2)</f>
        <v>2.12948224219084</v>
      </c>
    </row>
    <row r="8" customFormat="false" ht="15" hidden="false" customHeight="false" outlineLevel="0" collapsed="false">
      <c r="A8" s="0" t="s">
        <v>54</v>
      </c>
      <c r="B8" s="0" t="s">
        <v>55</v>
      </c>
      <c r="C8" s="5" t="n">
        <f aca="false">IF(Spread!C7=0,"n/m",(Spread!C4+Spread!C6)/Spread!C7)</f>
        <v>2.38421052631579</v>
      </c>
      <c r="D8" s="5" t="n">
        <f aca="false">IF(Spread!D7=0,"n/m",(Spread!D4+Spread!D6)/Spread!D7)</f>
        <v>-1.86580783682233</v>
      </c>
      <c r="E8" s="5" t="n">
        <f aca="false">IF(Spread!E7=0,"n/m",(Spread!E4+Spread!E6)/Spread!E7)</f>
        <v>4.0303738317757</v>
      </c>
      <c r="F8" s="5" t="n">
        <f aca="false">IF(Spread!F7=0,"n/m",(Spread!F4+Spread!F6)/Spread!F7)</f>
        <v>6.3219094247246</v>
      </c>
    </row>
    <row r="9" customFormat="false" ht="15" hidden="false" customHeight="false" outlineLevel="0" collapsed="false">
      <c r="A9" s="0" t="s">
        <v>56</v>
      </c>
      <c r="B9" s="0" t="s">
        <v>57</v>
      </c>
      <c r="C9" s="5" t="n">
        <f aca="false">IF((Spread!C7+Spread!C19)=0,"n/m",C2/(Spread!C7+Spread!C19))</f>
        <v>2.25263898662913</v>
      </c>
      <c r="D9" s="5" t="n">
        <f aca="false">IF((Spread!D7+Spread!D19)=0,"n/m",D2/(Spread!D7+Spread!D19))</f>
        <v>-0.199475448054786</v>
      </c>
      <c r="E9" s="5" t="n">
        <f aca="false">IF((Spread!E7+Spread!E19)=0,"n/m",E2/(Spread!E7+Spread!E19))</f>
        <v>4.98247663551402</v>
      </c>
      <c r="F9" s="5" t="n">
        <f aca="false">IF((Spread!F7+Spread!F19)=0,"n/m",F2/(Spread!F7+Spread!F19))</f>
        <v>1.76938219261054</v>
      </c>
    </row>
    <row r="10" customFormat="false" ht="15" hidden="false" customHeight="false" outlineLevel="0" collapsed="false">
      <c r="A10" s="0" t="s">
        <v>58</v>
      </c>
      <c r="B10" s="0" t="s">
        <v>59</v>
      </c>
      <c r="C10" s="5" t="n">
        <f aca="false">IF((Spread!C7+Spread!C11+Spread!C19)=0,"n/m",(C2+Spread!C11-Spread!C25-Spread!C26)/(Spread!C7+Spread!C11+Spread!C19))</f>
        <v>1.15314769975787</v>
      </c>
      <c r="D10" s="5" t="n">
        <f aca="false">IF((Spread!D7+Spread!D11+Spread!D19)=0,"n/m",(D2+Spread!D11-Spread!D25-Spread!D26)/(Spread!D7+Spread!D11+Spread!D19))</f>
        <v>-0.476386036960985</v>
      </c>
      <c r="E10" s="5" t="n">
        <f aca="false">IF((Spread!E7+Spread!E11+Spread!E19)=0,"n/m",(E2+Spread!E11-Spread!E25-Spread!E26)/(Spread!E7+Spread!E11+Spread!E19))</f>
        <v>3.42933204259439</v>
      </c>
      <c r="F10" s="5" t="n">
        <f aca="false">IF((Spread!F7+Spread!F11+Spread!F19)=0,"n/m",(F2+Spread!F11-Spread!F25-Spread!F26)/(Spread!F7+Spread!F11+Spread!F19))</f>
        <v>1.35776110790537</v>
      </c>
    </row>
    <row r="11" customFormat="false" ht="15" hidden="false" customHeight="false" outlineLevel="0" collapsed="false">
      <c r="A11" s="0" t="s">
        <v>60</v>
      </c>
      <c r="B11" s="0" t="s">
        <v>61</v>
      </c>
      <c r="C11" s="5" t="n">
        <f aca="false">IF(Spread!C17=0,"n/m",Spread!C15/Spread!C17)</f>
        <v>1.36963967666804</v>
      </c>
      <c r="D11" s="5" t="n">
        <f aca="false">IF(Spread!D17=0,"n/m",Spread!D15/Spread!D17)</f>
        <v>1.12993581015367</v>
      </c>
      <c r="E11" s="5" t="n">
        <f aca="false">IF(Spread!E17=0,"n/m",Spread!E15/Spread!E17)</f>
        <v>1.60029972168701</v>
      </c>
      <c r="F11" s="5" t="n">
        <f aca="false">IF(Spread!F17=0,"n/m",Spread!F15/Spread!F17)</f>
        <v>1.3808454919566</v>
      </c>
    </row>
    <row r="12" customFormat="false" ht="15" hidden="false" customHeight="false" outlineLevel="0" collapsed="false">
      <c r="A12" s="0" t="s">
        <v>62</v>
      </c>
      <c r="B12" s="0" t="s">
        <v>63</v>
      </c>
      <c r="C12" s="3" t="n">
        <f aca="false">Spread!C24-Spread!C25</f>
        <v>244.7</v>
      </c>
      <c r="D12" s="3" t="n">
        <f aca="false">Spread!D24-Spread!D25</f>
        <v>590.1</v>
      </c>
      <c r="E12" s="3" t="n">
        <f aca="false">Spread!E24-Spread!E25</f>
        <v>760.2</v>
      </c>
      <c r="F12" s="3" t="n">
        <f aca="false">Spread!F24-Spread!F25</f>
        <v>829.9</v>
      </c>
    </row>
    <row r="13" customFormat="false" ht="15" hidden="false" customHeight="false" outlineLevel="0" collapsed="false">
      <c r="A13" s="0" t="s">
        <v>64</v>
      </c>
      <c r="B13" s="0" t="s">
        <v>65</v>
      </c>
      <c r="C13" s="5" t="n">
        <f aca="false">IF(Spread!C22&lt;=0,"n/m",C3/Spread!C22)</f>
        <v>1.38607218980398</v>
      </c>
      <c r="D13" s="5" t="n">
        <f aca="false">IF(Spread!D22&lt;=0,"n/m",D3/Spread!D22)</f>
        <v>3.18840846366145</v>
      </c>
      <c r="E13" s="5" t="n">
        <f aca="false">IF(Spread!E22&lt;=0,"n/m",E3/Spread!E22)</f>
        <v>2.85299578059072</v>
      </c>
      <c r="F13" s="5" t="n">
        <f aca="false">IF(Spread!F22&lt;=0,"n/m",F3/Spread!F22)</f>
        <v>5.77347480106101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customFormat="false" ht="15" hidden="false" customHeight="false" outlineLevel="0" collapsed="false">
      <c r="A2" s="0" t="s">
        <v>73</v>
      </c>
      <c r="B2" s="0" t="s">
        <v>51</v>
      </c>
      <c r="C2" s="0" t="s">
        <v>74</v>
      </c>
      <c r="D2" s="6" t="n">
        <v>3.5</v>
      </c>
      <c r="E2" s="5" t="n">
        <f aca="false">Ratios!F6</f>
        <v>2.79409499358151</v>
      </c>
      <c r="F2" s="4" t="n">
        <f aca="false">IF(ISNUMBER(E2),(D2-E2)/D2,"n/m")</f>
        <v>0.201687144690996</v>
      </c>
      <c r="G2" s="0" t="str">
        <f aca="false">IF(ISNUMBER(F2),IF(F2&gt;=0,"PASS","BREACH"),IF(C2="&lt;=","BREACH","PASS"))</f>
        <v>PASS</v>
      </c>
    </row>
    <row r="3" customFormat="false" ht="15" hidden="false" customHeight="false" outlineLevel="0" collapsed="false">
      <c r="A3" s="0" t="s">
        <v>75</v>
      </c>
      <c r="B3" s="0" t="s">
        <v>55</v>
      </c>
      <c r="C3" s="0" t="s">
        <v>76</v>
      </c>
      <c r="D3" s="6" t="n">
        <v>3</v>
      </c>
      <c r="E3" s="5" t="n">
        <f aca="false">Ratios!F8</f>
        <v>6.3219094247246</v>
      </c>
      <c r="F3" s="4" t="n">
        <f aca="false">IF(ISNUMBER(E3),(E3-D3)/D3,"n/m")</f>
        <v>1.10730314157487</v>
      </c>
      <c r="G3" s="0" t="str">
        <f aca="false">IF(ISNUMBER(F3),IF(F3&gt;=0,"PASS","BREACH"),IF(C3="&lt;=","BREACH","PASS"))</f>
        <v>PASS</v>
      </c>
    </row>
    <row r="4" customFormat="false" ht="15" hidden="false" customHeight="false" outlineLevel="0" collapsed="false">
      <c r="A4" s="0" t="s">
        <v>77</v>
      </c>
      <c r="B4" s="0" t="s">
        <v>59</v>
      </c>
      <c r="C4" s="0" t="s">
        <v>76</v>
      </c>
      <c r="D4" s="6" t="n">
        <v>1.25</v>
      </c>
      <c r="E4" s="5" t="n">
        <f aca="false">Ratios!F10</f>
        <v>1.35776110790537</v>
      </c>
      <c r="F4" s="4" t="n">
        <f aca="false">IF(ISNUMBER(E4),(E4-D4)/D4,"n/m")</f>
        <v>0.0862088863242931</v>
      </c>
      <c r="G4" s="0" t="str">
        <f aca="false">IF(ISNUMBER(F4),IF(F4&gt;=0,"PASS","BREACH"),IF(C4="&lt;=","BREACH","PASS"))</f>
        <v>PASS</v>
      </c>
    </row>
    <row r="5" customFormat="false" ht="15" hidden="false" customHeight="false" outlineLevel="0" collapsed="false">
      <c r="A5" s="0" t="s">
        <v>78</v>
      </c>
      <c r="B5" s="0" t="s">
        <v>61</v>
      </c>
      <c r="C5" s="0" t="s">
        <v>76</v>
      </c>
      <c r="D5" s="6" t="n">
        <v>1</v>
      </c>
      <c r="E5" s="5" t="n">
        <f aca="false">Ratios!F11</f>
        <v>1.3808454919566</v>
      </c>
      <c r="F5" s="4" t="n">
        <f aca="false">IF(ISNUMBER(E5),(E5-D5)/D5,"n/m")</f>
        <v>0.380845491956603</v>
      </c>
      <c r="G5" s="0" t="str">
        <f aca="false">IF(ISNUMBER(F5),IF(F5&gt;=0,"PASS","BREACH"),IF(C5="&lt;=","BREACH","PASS"))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79</v>
      </c>
      <c r="B1" s="1" t="s">
        <v>66</v>
      </c>
      <c r="C1" s="1" t="s">
        <v>80</v>
      </c>
      <c r="D1" s="1" t="s">
        <v>81</v>
      </c>
    </row>
    <row r="2" customFormat="false" ht="15" hidden="false" customHeight="false" outlineLevel="0" collapsed="false">
      <c r="A2" s="0" t="s">
        <v>82</v>
      </c>
      <c r="B2" s="0" t="s">
        <v>73</v>
      </c>
      <c r="C2" s="0" t="n">
        <v>0.201687144690996</v>
      </c>
      <c r="D2" s="0" t="s">
        <v>83</v>
      </c>
    </row>
    <row r="3" customFormat="false" ht="15" hidden="false" customHeight="false" outlineLevel="0" collapsed="false">
      <c r="A3" s="0" t="s">
        <v>82</v>
      </c>
      <c r="B3" s="0" t="s">
        <v>75</v>
      </c>
      <c r="C3" s="0" t="n">
        <v>0.464527171587505</v>
      </c>
      <c r="D3" s="0" t="s">
        <v>84</v>
      </c>
    </row>
    <row r="4" customFormat="false" ht="15" hidden="false" customHeight="false" outlineLevel="0" collapsed="false">
      <c r="A4" s="0" t="s">
        <v>82</v>
      </c>
      <c r="B4" s="0" t="s">
        <v>77</v>
      </c>
      <c r="C4" s="0" t="n">
        <v>0.0639281129653402</v>
      </c>
      <c r="D4" s="0" t="s">
        <v>85</v>
      </c>
    </row>
    <row r="5" customFormat="false" ht="15" hidden="false" customHeight="false" outlineLevel="0" collapsed="false">
      <c r="A5" s="0" t="s">
        <v>82</v>
      </c>
      <c r="B5" s="0" t="s">
        <v>78</v>
      </c>
      <c r="D5" s="0" t="s">
        <v>86</v>
      </c>
    </row>
    <row r="6" customFormat="false" ht="15" hidden="false" customHeight="false" outlineLevel="0" collapsed="false">
      <c r="A6" s="0" t="s">
        <v>87</v>
      </c>
      <c r="B6" s="0" t="s">
        <v>73</v>
      </c>
      <c r="D6" s="0" t="s">
        <v>88</v>
      </c>
    </row>
    <row r="7" customFormat="false" ht="15" hidden="false" customHeight="false" outlineLevel="0" collapsed="false">
      <c r="A7" s="0" t="s">
        <v>87</v>
      </c>
      <c r="B7" s="0" t="s">
        <v>75</v>
      </c>
      <c r="D7" s="0" t="s">
        <v>88</v>
      </c>
    </row>
    <row r="8" customFormat="false" ht="15" hidden="false" customHeight="false" outlineLevel="0" collapsed="false">
      <c r="A8" s="0" t="s">
        <v>87</v>
      </c>
      <c r="B8" s="0" t="s">
        <v>77</v>
      </c>
      <c r="C8" s="0" t="n">
        <v>1830.37765322062</v>
      </c>
      <c r="D8" s="0" t="s">
        <v>89</v>
      </c>
    </row>
    <row r="9" customFormat="false" ht="15" hidden="false" customHeight="false" outlineLevel="0" collapsed="false">
      <c r="A9" s="0" t="s">
        <v>87</v>
      </c>
      <c r="B9" s="0" t="s">
        <v>78</v>
      </c>
      <c r="D9" s="0" t="s">
        <v>88</v>
      </c>
    </row>
    <row r="10" customFormat="false" ht="15" hidden="false" customHeight="false" outlineLevel="0" collapsed="false">
      <c r="A10" s="0" t="s">
        <v>90</v>
      </c>
      <c r="B10" s="0" t="s">
        <v>73</v>
      </c>
      <c r="C10" s="0" t="n">
        <v>0.0692113090867907</v>
      </c>
      <c r="D10" s="0" t="s">
        <v>91</v>
      </c>
    </row>
    <row r="11" customFormat="false" ht="15" hidden="false" customHeight="false" outlineLevel="0" collapsed="false">
      <c r="A11" s="0" t="s">
        <v>90</v>
      </c>
      <c r="B11" s="0" t="s">
        <v>75</v>
      </c>
      <c r="C11" s="0" t="n">
        <v>0.159407946903175</v>
      </c>
      <c r="D11" s="0" t="s">
        <v>92</v>
      </c>
    </row>
    <row r="12" customFormat="false" ht="15" hidden="false" customHeight="false" outlineLevel="0" collapsed="false">
      <c r="A12" s="0" t="s">
        <v>90</v>
      </c>
      <c r="B12" s="0" t="s">
        <v>77</v>
      </c>
      <c r="C12" s="0" t="n">
        <v>0.021937681712725</v>
      </c>
      <c r="D12" s="0" t="s">
        <v>93</v>
      </c>
    </row>
    <row r="13" customFormat="false" ht="15" hidden="false" customHeight="false" outlineLevel="0" collapsed="false">
      <c r="A13" s="0" t="s">
        <v>90</v>
      </c>
      <c r="B13" s="0" t="s">
        <v>78</v>
      </c>
      <c r="D13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1" t="s">
        <v>94</v>
      </c>
      <c r="B1" s="1" t="s">
        <v>2</v>
      </c>
      <c r="C1" s="1" t="s">
        <v>3</v>
      </c>
      <c r="D1" s="1" t="s">
        <v>4</v>
      </c>
      <c r="E1" s="1" t="s">
        <v>5</v>
      </c>
    </row>
    <row r="2" customFormat="false" ht="15" hidden="false" customHeight="false" outlineLevel="0" collapsed="false">
      <c r="A2" s="0" t="s">
        <v>6</v>
      </c>
      <c r="B2" s="0" t="s">
        <v>95</v>
      </c>
      <c r="C2" s="0" t="s">
        <v>95</v>
      </c>
      <c r="D2" s="0" t="s">
        <v>95</v>
      </c>
      <c r="E2" s="0" t="s">
        <v>95</v>
      </c>
    </row>
    <row r="3" customFormat="false" ht="15" hidden="false" customHeight="false" outlineLevel="0" collapsed="false">
      <c r="A3" s="0" t="s">
        <v>8</v>
      </c>
      <c r="B3" s="0" t="s">
        <v>96</v>
      </c>
      <c r="C3" s="0" t="s">
        <v>96</v>
      </c>
      <c r="D3" s="0" t="s">
        <v>96</v>
      </c>
      <c r="E3" s="0" t="s">
        <v>96</v>
      </c>
    </row>
    <row r="4" customFormat="false" ht="15" hidden="false" customHeight="false" outlineLevel="0" collapsed="false">
      <c r="A4" s="0" t="s">
        <v>9</v>
      </c>
      <c r="B4" s="0" t="s">
        <v>97</v>
      </c>
      <c r="C4" s="0" t="s">
        <v>97</v>
      </c>
      <c r="D4" s="0" t="s">
        <v>97</v>
      </c>
      <c r="E4" s="0" t="s">
        <v>97</v>
      </c>
    </row>
    <row r="5" customFormat="false" ht="15" hidden="false" customHeight="false" outlineLevel="0" collapsed="false">
      <c r="A5" s="0" t="s">
        <v>10</v>
      </c>
      <c r="B5" s="0" t="s">
        <v>98</v>
      </c>
      <c r="C5" s="0" t="s">
        <v>98</v>
      </c>
      <c r="D5" s="0" t="s">
        <v>98</v>
      </c>
      <c r="E5" s="0" t="s">
        <v>98</v>
      </c>
    </row>
    <row r="6" customFormat="false" ht="15" hidden="false" customHeight="false" outlineLevel="0" collapsed="false">
      <c r="A6" s="0" t="s">
        <v>11</v>
      </c>
      <c r="B6" s="0" t="s">
        <v>99</v>
      </c>
      <c r="C6" s="0" t="s">
        <v>99</v>
      </c>
      <c r="D6" s="0" t="s">
        <v>99</v>
      </c>
      <c r="E6" s="0" t="s">
        <v>99</v>
      </c>
    </row>
    <row r="7" customFormat="false" ht="15" hidden="false" customHeight="false" outlineLevel="0" collapsed="false">
      <c r="A7" s="0" t="s">
        <v>12</v>
      </c>
      <c r="B7" s="0" t="s">
        <v>100</v>
      </c>
      <c r="C7" s="0" t="s">
        <v>100</v>
      </c>
      <c r="D7" s="0" t="s">
        <v>101</v>
      </c>
      <c r="E7" s="0" t="s">
        <v>101</v>
      </c>
    </row>
    <row r="8" customFormat="false" ht="15" hidden="false" customHeight="false" outlineLevel="0" collapsed="false">
      <c r="A8" s="0" t="s">
        <v>13</v>
      </c>
      <c r="B8" s="0" t="s">
        <v>102</v>
      </c>
      <c r="C8" s="0" t="s">
        <v>102</v>
      </c>
      <c r="D8" s="0" t="s">
        <v>102</v>
      </c>
      <c r="E8" s="0" t="s">
        <v>102</v>
      </c>
    </row>
    <row r="9" customFormat="false" ht="15" hidden="false" customHeight="false" outlineLevel="0" collapsed="false">
      <c r="A9" s="0" t="s">
        <v>14</v>
      </c>
      <c r="B9" s="0" t="s">
        <v>103</v>
      </c>
      <c r="C9" s="0" t="s">
        <v>103</v>
      </c>
      <c r="D9" s="0" t="s">
        <v>103</v>
      </c>
      <c r="E9" s="0" t="s">
        <v>103</v>
      </c>
    </row>
    <row r="10" customFormat="false" ht="15" hidden="false" customHeight="false" outlineLevel="0" collapsed="false">
      <c r="A10" s="0" t="s">
        <v>15</v>
      </c>
      <c r="B10" s="0" t="s">
        <v>104</v>
      </c>
      <c r="C10" s="0" t="s">
        <v>104</v>
      </c>
      <c r="D10" s="0" t="s">
        <v>104</v>
      </c>
      <c r="E10" s="0" t="s">
        <v>104</v>
      </c>
    </row>
    <row r="11" customFormat="false" ht="15" hidden="false" customHeight="false" outlineLevel="0" collapsed="false">
      <c r="A11" s="0" t="s">
        <v>16</v>
      </c>
      <c r="B11" s="0" t="s">
        <v>105</v>
      </c>
      <c r="C11" s="0" t="s">
        <v>105</v>
      </c>
      <c r="D11" s="0" t="s">
        <v>105</v>
      </c>
      <c r="E11" s="0" t="s">
        <v>105</v>
      </c>
    </row>
    <row r="12" customFormat="false" ht="15" hidden="false" customHeight="false" outlineLevel="0" collapsed="false">
      <c r="A12" s="0" t="s">
        <v>17</v>
      </c>
      <c r="B12" s="0" t="s">
        <v>106</v>
      </c>
      <c r="C12" s="0" t="s">
        <v>106</v>
      </c>
      <c r="D12" s="0" t="s">
        <v>106</v>
      </c>
      <c r="E12" s="0" t="s">
        <v>106</v>
      </c>
    </row>
    <row r="13" customFormat="false" ht="15" hidden="false" customHeight="false" outlineLevel="0" collapsed="false">
      <c r="A13" s="0" t="s">
        <v>19</v>
      </c>
      <c r="B13" s="0" t="s">
        <v>107</v>
      </c>
      <c r="C13" s="0" t="s">
        <v>107</v>
      </c>
      <c r="D13" s="0" t="s">
        <v>107</v>
      </c>
      <c r="E13" s="0" t="s">
        <v>107</v>
      </c>
    </row>
    <row r="14" customFormat="false" ht="15" hidden="false" customHeight="false" outlineLevel="0" collapsed="false">
      <c r="A14" s="0" t="s">
        <v>20</v>
      </c>
      <c r="B14" s="0" t="s">
        <v>108</v>
      </c>
      <c r="C14" s="0" t="s">
        <v>108</v>
      </c>
      <c r="D14" s="0" t="s">
        <v>108</v>
      </c>
      <c r="E14" s="0" t="s">
        <v>108</v>
      </c>
    </row>
    <row r="15" customFormat="false" ht="15" hidden="false" customHeight="false" outlineLevel="0" collapsed="false">
      <c r="A15" s="0" t="s">
        <v>21</v>
      </c>
      <c r="B15" s="0" t="s">
        <v>109</v>
      </c>
      <c r="C15" s="0" t="s">
        <v>109</v>
      </c>
      <c r="D15" s="0" t="s">
        <v>109</v>
      </c>
      <c r="E15" s="0" t="s">
        <v>109</v>
      </c>
    </row>
    <row r="16" customFormat="false" ht="15" hidden="false" customHeight="false" outlineLevel="0" collapsed="false">
      <c r="A16" s="0" t="s">
        <v>22</v>
      </c>
      <c r="B16" s="0" t="s">
        <v>110</v>
      </c>
      <c r="C16" s="0" t="s">
        <v>110</v>
      </c>
      <c r="D16" s="0" t="s">
        <v>110</v>
      </c>
      <c r="E16" s="0" t="s">
        <v>110</v>
      </c>
    </row>
    <row r="17" customFormat="false" ht="15" hidden="false" customHeight="false" outlineLevel="0" collapsed="false">
      <c r="A17" s="0" t="s">
        <v>23</v>
      </c>
      <c r="B17" s="0" t="s">
        <v>111</v>
      </c>
      <c r="C17" s="0" t="s">
        <v>111</v>
      </c>
      <c r="D17" s="0" t="s">
        <v>111</v>
      </c>
      <c r="E17" s="0" t="s">
        <v>111</v>
      </c>
    </row>
    <row r="18" customFormat="false" ht="15" hidden="false" customHeight="false" outlineLevel="0" collapsed="false">
      <c r="A18" s="0" t="s">
        <v>24</v>
      </c>
      <c r="B18" s="0" t="s">
        <v>112</v>
      </c>
      <c r="C18" s="0" t="s">
        <v>112</v>
      </c>
      <c r="D18" s="0" t="s">
        <v>113</v>
      </c>
      <c r="E18" s="0" t="s">
        <v>113</v>
      </c>
    </row>
    <row r="19" customFormat="false" ht="15" hidden="false" customHeight="false" outlineLevel="0" collapsed="false">
      <c r="A19" s="0" t="s">
        <v>25</v>
      </c>
      <c r="B19" s="0" t="s">
        <v>114</v>
      </c>
      <c r="C19" s="0" t="s">
        <v>114</v>
      </c>
      <c r="D19" s="0" t="s">
        <v>114</v>
      </c>
      <c r="E19" s="0" t="s">
        <v>114</v>
      </c>
    </row>
    <row r="20" customFormat="false" ht="15" hidden="false" customHeight="false" outlineLevel="0" collapsed="false">
      <c r="A20" s="0" t="s">
        <v>26</v>
      </c>
      <c r="B20" s="0" t="s">
        <v>115</v>
      </c>
      <c r="C20" s="0" t="s">
        <v>115</v>
      </c>
      <c r="D20" s="0" t="s">
        <v>115</v>
      </c>
      <c r="E20" s="0" t="s">
        <v>115</v>
      </c>
    </row>
    <row r="21" customFormat="false" ht="15" hidden="false" customHeight="false" outlineLevel="0" collapsed="false">
      <c r="A21" s="0" t="s">
        <v>27</v>
      </c>
      <c r="B21" s="0" t="s">
        <v>116</v>
      </c>
      <c r="C21" s="0" t="s">
        <v>116</v>
      </c>
      <c r="D21" s="0" t="s">
        <v>116</v>
      </c>
      <c r="E21" s="0" t="s">
        <v>116</v>
      </c>
    </row>
    <row r="22" customFormat="false" ht="15" hidden="false" customHeight="false" outlineLevel="0" collapsed="false">
      <c r="A22" s="0" t="s">
        <v>28</v>
      </c>
      <c r="B22" s="0" t="s">
        <v>117</v>
      </c>
      <c r="C22" s="0" t="s">
        <v>117</v>
      </c>
      <c r="D22" s="0" t="s">
        <v>117</v>
      </c>
      <c r="E22" s="0" t="s">
        <v>117</v>
      </c>
    </row>
    <row r="23" customFormat="false" ht="15" hidden="false" customHeight="false" outlineLevel="0" collapsed="false">
      <c r="A23" s="0" t="s">
        <v>29</v>
      </c>
      <c r="B23" s="0" t="s">
        <v>118</v>
      </c>
      <c r="C23" s="0" t="s">
        <v>118</v>
      </c>
      <c r="D23" s="0" t="s">
        <v>118</v>
      </c>
      <c r="E23" s="0" t="s">
        <v>118</v>
      </c>
    </row>
    <row r="24" customFormat="false" ht="15" hidden="false" customHeight="false" outlineLevel="0" collapsed="false">
      <c r="A24" s="0" t="s">
        <v>30</v>
      </c>
      <c r="B24" s="0" t="s">
        <v>119</v>
      </c>
      <c r="C24" s="0" t="s">
        <v>119</v>
      </c>
      <c r="D24" s="0" t="s">
        <v>119</v>
      </c>
      <c r="E24" s="0" t="s">
        <v>119</v>
      </c>
    </row>
    <row r="25" customFormat="false" ht="15" hidden="false" customHeight="false" outlineLevel="0" collapsed="false">
      <c r="A25" s="0" t="s">
        <v>32</v>
      </c>
      <c r="B25" s="0" t="s">
        <v>120</v>
      </c>
      <c r="C25" s="0" t="s">
        <v>120</v>
      </c>
      <c r="D25" s="0" t="s">
        <v>120</v>
      </c>
      <c r="E25" s="0" t="s">
        <v>120</v>
      </c>
    </row>
    <row r="26" customFormat="false" ht="15" hidden="false" customHeight="false" outlineLevel="0" collapsed="false">
      <c r="A26" s="0" t="s">
        <v>33</v>
      </c>
      <c r="B26" s="0" t="s">
        <v>121</v>
      </c>
      <c r="C26" s="0" t="s">
        <v>121</v>
      </c>
      <c r="D26" s="0" t="s">
        <v>121</v>
      </c>
      <c r="E26" s="0" t="s">
        <v>122</v>
      </c>
    </row>
    <row r="27" customFormat="false" ht="15" hidden="false" customHeight="false" outlineLevel="0" collapsed="false">
      <c r="A27" s="0" t="s">
        <v>34</v>
      </c>
      <c r="B27" s="0" t="s">
        <v>123</v>
      </c>
      <c r="C27" s="0" t="s">
        <v>123</v>
      </c>
      <c r="D27" s="0" t="s">
        <v>123</v>
      </c>
      <c r="E27" s="0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2026-10-04T01:55:34Z</dcterms:created>
  <dc:creator>openpyxl</dc:creator>
  <dc:description/>
  <dc:language>en-US</dc:language>
  <cp:lastModifiedBy/>
  <dcterms:modified xsi:type="dcterms:W3CDTF">2026-10-04T01:55:34Z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